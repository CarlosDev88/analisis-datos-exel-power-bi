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600" yWindow="45" windowWidth="17580" windowHeight="4500" tabRatio="652"/>
  </bookViews>
  <sheets>
    <sheet name="Indice" sheetId="1" r:id="rId1"/>
    <sheet name="Config" sheetId="2" r:id="rId2"/>
    <sheet name="ProdServ" sheetId="3" r:id="rId3"/>
    <sheet name="Clientes" sheetId="4" r:id="rId4"/>
    <sheet name="Ingresos" sheetId="5" r:id="rId5"/>
    <sheet name="FacEmitida" sheetId="6" r:id="rId6"/>
    <sheet name="ListaEmitidas" sheetId="7" r:id="rId7"/>
    <sheet name="TiposGasto" sheetId="8" r:id="rId8"/>
    <sheet name="Proveedores" sheetId="9" r:id="rId9"/>
    <sheet name="Gastos" sheetId="10" r:id="rId10"/>
    <sheet name="ListaRecibidas" sheetId="11" r:id="rId11"/>
  </sheets>
  <definedNames>
    <definedName name="_xlnm.Print_Area" localSheetId="5">FacEmitida!$B$5:$J$70</definedName>
    <definedName name="_xlnm.Print_Area" localSheetId="6">ListaEmitidas!$B$1:$K$70</definedName>
    <definedName name="CheckNFactura">Ingresos!$C$8</definedName>
    <definedName name="ClienteAFacturar">Ingresos!$D$6</definedName>
    <definedName name="FechaAFacturar">Ingresos!$D$7</definedName>
    <definedName name="IRPEmpresa">Config!$D$17</definedName>
    <definedName name="ListaClientes">TablaClientes[Clientes]</definedName>
    <definedName name="ListaFormasDePago">TablaClientes[Formas de pago]</definedName>
    <definedName name="ListaProductos">Tabla_Productos_Servi[Producto]</definedName>
    <definedName name="ListaProveedores">TablaProveedores[Proveedores]</definedName>
    <definedName name="ListaTiposGasto">TablaTiposGasto[[Tipo de Gasto ]]</definedName>
    <definedName name="NFacturaManual">Ingresos!$D$8</definedName>
    <definedName name="NumeroAutomatico">Ingresos!$G$6</definedName>
    <definedName name="UltimoNFactura">Ingresos!$L$8</definedName>
  </definedNames>
  <calcPr calcId="144525"/>
  <pivotCaches>
    <pivotCache cacheId="0" r:id="rId12"/>
    <pivotCache cacheId="1" r:id="rId13"/>
  </pivotCaches>
</workbook>
</file>

<file path=xl/calcChain.xml><?xml version="1.0" encoding="utf-8"?>
<calcChain xmlns="http://schemas.openxmlformats.org/spreadsheetml/2006/main">
  <c r="C8" i="5" l="1"/>
  <c r="F67" i="6"/>
  <c r="F7" i="6"/>
  <c r="C67" i="6"/>
  <c r="D67" i="6"/>
  <c r="M8" i="5" l="1"/>
  <c r="L8" i="5"/>
  <c r="L6" i="10" l="1"/>
  <c r="L7" i="10"/>
  <c r="L8" i="10"/>
  <c r="L9" i="10"/>
  <c r="L10" i="10"/>
  <c r="L11" i="10"/>
  <c r="L12" i="10"/>
  <c r="L13" i="10"/>
  <c r="L14" i="10"/>
  <c r="L15" i="10"/>
  <c r="L16" i="10"/>
  <c r="J6" i="10"/>
  <c r="J7" i="10"/>
  <c r="J8" i="10"/>
  <c r="J9" i="10"/>
  <c r="J10" i="10"/>
  <c r="J11" i="10"/>
  <c r="J12" i="10"/>
  <c r="J16" i="10"/>
  <c r="D12" i="6"/>
  <c r="H6" i="6" l="1"/>
  <c r="F6" i="6"/>
  <c r="B1" i="6"/>
  <c r="C10" i="6"/>
  <c r="C9" i="6"/>
  <c r="D8" i="6"/>
  <c r="D7" i="6"/>
  <c r="C7" i="6"/>
  <c r="C6" i="6"/>
  <c r="C8" i="6"/>
  <c r="D6" i="6"/>
  <c r="O11" i="5"/>
  <c r="O12" i="5"/>
  <c r="O13" i="5"/>
  <c r="O14" i="5"/>
  <c r="O15" i="5"/>
  <c r="O16" i="5"/>
  <c r="O17" i="5"/>
  <c r="O18" i="5"/>
  <c r="I11" i="5"/>
  <c r="J11" i="5" s="1"/>
  <c r="K11" i="5" s="1"/>
  <c r="R11" i="5" s="1"/>
  <c r="I12" i="5"/>
  <c r="J12" i="5" s="1"/>
  <c r="K12" i="5" s="1"/>
  <c r="R12" i="5" s="1"/>
  <c r="I13" i="5"/>
  <c r="J13" i="5" s="1"/>
  <c r="K13" i="5" s="1"/>
  <c r="R13" i="5" s="1"/>
  <c r="I14" i="5"/>
  <c r="J14" i="5" s="1"/>
  <c r="K14" i="5" s="1"/>
  <c r="R14" i="5" s="1"/>
  <c r="I15" i="5"/>
  <c r="J15" i="5" s="1"/>
  <c r="K15" i="5" s="1"/>
  <c r="R15" i="5" s="1"/>
  <c r="I16" i="5"/>
  <c r="J16" i="5" s="1"/>
  <c r="K16" i="5" s="1"/>
  <c r="R16" i="5" s="1"/>
  <c r="I17" i="5"/>
  <c r="J17" i="5" s="1"/>
  <c r="K17" i="5" s="1"/>
  <c r="R17" i="5" s="1"/>
  <c r="I18" i="5"/>
  <c r="J18" i="5" s="1"/>
  <c r="K18" i="5" s="1"/>
  <c r="R18" i="5" s="1"/>
  <c r="H12" i="6" l="1"/>
  <c r="F8" i="6"/>
  <c r="H10" i="6"/>
  <c r="H9" i="6"/>
  <c r="F9" i="6"/>
  <c r="H8" i="6"/>
  <c r="F10" i="6"/>
  <c r="G67" i="6" l="1"/>
</calcChain>
</file>

<file path=xl/sharedStrings.xml><?xml version="1.0" encoding="utf-8"?>
<sst xmlns="http://schemas.openxmlformats.org/spreadsheetml/2006/main" count="421" uniqueCount="225">
  <si>
    <t>DATOS DE EMPRESA</t>
  </si>
  <si>
    <t>IRPF</t>
  </si>
  <si>
    <t>Nombr de la Empresa</t>
  </si>
  <si>
    <t>C.Postal</t>
  </si>
  <si>
    <t>Dirección</t>
  </si>
  <si>
    <t>Población</t>
  </si>
  <si>
    <t>Pais</t>
  </si>
  <si>
    <t>Teléfono</t>
  </si>
  <si>
    <t>CC/NIT</t>
  </si>
  <si>
    <t>Correo electronico</t>
  </si>
  <si>
    <t>Web</t>
  </si>
  <si>
    <t>KALIER.SAS</t>
  </si>
  <si>
    <t>carrera5#14-56</t>
  </si>
  <si>
    <t>Santander</t>
  </si>
  <si>
    <t>Colombia</t>
  </si>
  <si>
    <t>900271890-5</t>
  </si>
  <si>
    <t>kaliersas.360@gmail.com</t>
  </si>
  <si>
    <t>www.parcelar.co</t>
  </si>
  <si>
    <t>CONFIGURACIÓN</t>
  </si>
  <si>
    <t>Producto</t>
  </si>
  <si>
    <t>Precio /UD</t>
  </si>
  <si>
    <t>% IVA</t>
  </si>
  <si>
    <t>PRODUCTOS Y SERVICIOS</t>
  </si>
  <si>
    <t>Clientes</t>
  </si>
  <si>
    <t>Direccion</t>
  </si>
  <si>
    <t>C.P</t>
  </si>
  <si>
    <t>Telefono</t>
  </si>
  <si>
    <t>Vencimientos</t>
  </si>
  <si>
    <t>Formas de pago</t>
  </si>
  <si>
    <t>carrea 65 #3589</t>
  </si>
  <si>
    <t>calle 2 sur 21-56</t>
  </si>
  <si>
    <t>Tras 56 Calle 63</t>
  </si>
  <si>
    <t>AV 62 Calle 3 sur 25b</t>
  </si>
  <si>
    <t>carrea 65 #3590</t>
  </si>
  <si>
    <t>calle 2 sur 21-57</t>
  </si>
  <si>
    <t>Tras 56 Calle 64</t>
  </si>
  <si>
    <t>carrea 65 #3591</t>
  </si>
  <si>
    <t>calle 2 sur 21-58</t>
  </si>
  <si>
    <t>Boyaca</t>
  </si>
  <si>
    <t>Cundinamarca</t>
  </si>
  <si>
    <t>Bogota</t>
  </si>
  <si>
    <t>Antioquia</t>
  </si>
  <si>
    <t>Barranquilla</t>
  </si>
  <si>
    <t>Cali</t>
  </si>
  <si>
    <t>Medellin</t>
  </si>
  <si>
    <t>Recibo</t>
  </si>
  <si>
    <t>Consignacion</t>
  </si>
  <si>
    <t>Efecti</t>
  </si>
  <si>
    <t>Baloto</t>
  </si>
  <si>
    <t>BBVA</t>
  </si>
  <si>
    <t>Erfecti</t>
  </si>
  <si>
    <t>CLIENTES</t>
  </si>
  <si>
    <t>Fecha ingre</t>
  </si>
  <si>
    <t>Cliente</t>
  </si>
  <si>
    <t>Cantidad</t>
  </si>
  <si>
    <t>%DC</t>
  </si>
  <si>
    <t>Dto</t>
  </si>
  <si>
    <t>Importe Ud</t>
  </si>
  <si>
    <t>TOTAL</t>
  </si>
  <si>
    <t>N° Fac</t>
  </si>
  <si>
    <t>Forma Pag</t>
  </si>
  <si>
    <t>05/25/2019</t>
  </si>
  <si>
    <t>05/28/2019</t>
  </si>
  <si>
    <t>IVA</t>
  </si>
  <si>
    <t>Estado Fct</t>
  </si>
  <si>
    <t>Fecha Fact</t>
  </si>
  <si>
    <t>VenciMto</t>
  </si>
  <si>
    <t>Fecha Venci</t>
  </si>
  <si>
    <t>Cliente Avisado</t>
  </si>
  <si>
    <t>En Mora</t>
  </si>
  <si>
    <t>Pagado</t>
  </si>
  <si>
    <t>Recibido Pagare</t>
  </si>
  <si>
    <t>Sin Enviar</t>
  </si>
  <si>
    <t>Enviado</t>
  </si>
  <si>
    <t>REGISTRO DE INGRESOS</t>
  </si>
  <si>
    <t>Precio UD</t>
  </si>
  <si>
    <t>Precio neto  UD</t>
  </si>
  <si>
    <t>Total Productos</t>
  </si>
  <si>
    <t>Etiquetas de fila</t>
  </si>
  <si>
    <t>Suma de Cantidad</t>
  </si>
  <si>
    <t>Suma de Precio /UD</t>
  </si>
  <si>
    <t>Suma de Dto</t>
  </si>
  <si>
    <t>Suma de Importe Ud</t>
  </si>
  <si>
    <t>Suma de TOTAL</t>
  </si>
  <si>
    <t>LOS HERRAJES AQUÍ.SAS</t>
  </si>
  <si>
    <t>TOTAL IVA</t>
  </si>
  <si>
    <t>IRFP</t>
  </si>
  <si>
    <t>BASE IMPONIBLE</t>
  </si>
  <si>
    <t>Pedro Alberto del Rio</t>
  </si>
  <si>
    <t>La Casa de La Valvula</t>
  </si>
  <si>
    <t>Forma de Pago:</t>
  </si>
  <si>
    <t>Vencimiento:</t>
  </si>
  <si>
    <t>LISTADO DE FACTURAS EMITIDAS</t>
  </si>
  <si>
    <t>Total general</t>
  </si>
  <si>
    <t>TOTAL BASE</t>
  </si>
  <si>
    <t>TOTAL  IRF</t>
  </si>
  <si>
    <t>TOTAL FACTURA</t>
  </si>
  <si>
    <t xml:space="preserve">Tipo de Gasto </t>
  </si>
  <si>
    <t>Aprovisionamientos</t>
  </si>
  <si>
    <t>Arriendos</t>
  </si>
  <si>
    <t>Reparacioes locativas</t>
  </si>
  <si>
    <t>Acesorias legales</t>
  </si>
  <si>
    <t>Trasporte</t>
  </si>
  <si>
    <t>Primas de seguros</t>
  </si>
  <si>
    <t>Servicios Bancarios</t>
  </si>
  <si>
    <t>Publicidad en medios digitales</t>
  </si>
  <si>
    <t>Luz</t>
  </si>
  <si>
    <t>Agua</t>
  </si>
  <si>
    <t>Gas</t>
  </si>
  <si>
    <t>Telefono e internet</t>
  </si>
  <si>
    <t>Gastos varios</t>
  </si>
  <si>
    <t>Impuestos</t>
  </si>
  <si>
    <t>Suledos de Nomina</t>
  </si>
  <si>
    <t>Seguridad Social</t>
  </si>
  <si>
    <t>Intereses de prestamos a terceros</t>
  </si>
  <si>
    <t>Creditos Bancarios</t>
  </si>
  <si>
    <t>Gastos Extraordinarios</t>
  </si>
  <si>
    <t>TIPOS DE GASTO</t>
  </si>
  <si>
    <t>PROVEEDORES</t>
  </si>
  <si>
    <t>Proveedores</t>
  </si>
  <si>
    <t>País</t>
  </si>
  <si>
    <t>Nit/CC</t>
  </si>
  <si>
    <t>Forma de Pago</t>
  </si>
  <si>
    <t>Proveedor 1</t>
  </si>
  <si>
    <t>Proveedor 2</t>
  </si>
  <si>
    <t>Proveedor 3</t>
  </si>
  <si>
    <t>Proveedor 4</t>
  </si>
  <si>
    <t>Proveedor 5</t>
  </si>
  <si>
    <t>Proveedor 6</t>
  </si>
  <si>
    <t>Proveedor 7</t>
  </si>
  <si>
    <t>Proveedor 8</t>
  </si>
  <si>
    <t>Proveedor 9</t>
  </si>
  <si>
    <t>Proveedor 10</t>
  </si>
  <si>
    <t>carrera 64 #2589</t>
  </si>
  <si>
    <t>Calle 25 #56-98</t>
  </si>
  <si>
    <t>Avenida 2 sur 23-98</t>
  </si>
  <si>
    <t>Calle 32 #36-25</t>
  </si>
  <si>
    <t>carrera 33# 23-98</t>
  </si>
  <si>
    <t>carrera 64 #2590</t>
  </si>
  <si>
    <t>Calle 25 #56-99</t>
  </si>
  <si>
    <t>Avenida 2 sur 23-99</t>
  </si>
  <si>
    <t>Calle 32 #36-26</t>
  </si>
  <si>
    <t>carrera 89# 23-99</t>
  </si>
  <si>
    <t>Bucaramanga</t>
  </si>
  <si>
    <t>Bogotá</t>
  </si>
  <si>
    <t>Brranquilla</t>
  </si>
  <si>
    <t>Pereira</t>
  </si>
  <si>
    <t>9005698215-9</t>
  </si>
  <si>
    <t>800987456-2</t>
  </si>
  <si>
    <t>8005126987-4</t>
  </si>
  <si>
    <t>900587456-2</t>
  </si>
  <si>
    <t>8005126987-5</t>
  </si>
  <si>
    <t>900587456-3</t>
  </si>
  <si>
    <t>Concignacion</t>
  </si>
  <si>
    <t>Fecha reg</t>
  </si>
  <si>
    <t>N° Orden</t>
  </si>
  <si>
    <t>Fecha Prove</t>
  </si>
  <si>
    <t>N° Fra Proveedor</t>
  </si>
  <si>
    <t>Proveedor</t>
  </si>
  <si>
    <t>Tipo de Gasto</t>
  </si>
  <si>
    <t>Importe/Base</t>
  </si>
  <si>
    <t>Estado de la Factura</t>
  </si>
  <si>
    <t>04/15/2019</t>
  </si>
  <si>
    <t>0420/2019</t>
  </si>
  <si>
    <t>05/20/2019</t>
  </si>
  <si>
    <t>06/22/2019</t>
  </si>
  <si>
    <t>10/25/2019</t>
  </si>
  <si>
    <t>10/30/2019</t>
  </si>
  <si>
    <t>12/22/2019</t>
  </si>
  <si>
    <t>FRA3025</t>
  </si>
  <si>
    <t>FRA3026</t>
  </si>
  <si>
    <t>FRA3027</t>
  </si>
  <si>
    <t>FRA3028</t>
  </si>
  <si>
    <t>FRA3029</t>
  </si>
  <si>
    <t>FRA3030</t>
  </si>
  <si>
    <t>FRA3031</t>
  </si>
  <si>
    <t>FRA3032</t>
  </si>
  <si>
    <t>FRA3033</t>
  </si>
  <si>
    <t>FRA3034</t>
  </si>
  <si>
    <t>FRA3035</t>
  </si>
  <si>
    <t>VenciMt T1</t>
  </si>
  <si>
    <t>VenciMt T2</t>
  </si>
  <si>
    <t>VenciMt T3</t>
  </si>
  <si>
    <t>Pendiente</t>
  </si>
  <si>
    <t>Contabilizada</t>
  </si>
  <si>
    <t>Pagada</t>
  </si>
  <si>
    <t>REGISTRO DE GASTOS</t>
  </si>
  <si>
    <t>IMPORTE</t>
  </si>
  <si>
    <t>TOTAL  IVA</t>
  </si>
  <si>
    <t xml:space="preserve"> IRPF</t>
  </si>
  <si>
    <t>LISTADO DE FACTURAS RECIVIDAS Y GASTOS</t>
  </si>
  <si>
    <t>Alberto Jose Triana</t>
  </si>
  <si>
    <t>Empresa el Dorado</t>
  </si>
  <si>
    <t>Maxiuente</t>
  </si>
  <si>
    <t>Jose Herrera Martinez</t>
  </si>
  <si>
    <t>Francisco Jose Caldas</t>
  </si>
  <si>
    <t>Jose Roberto Ramirez</t>
  </si>
  <si>
    <t>Distribuciones Ramirez</t>
  </si>
  <si>
    <t>La casa de la Luz</t>
  </si>
  <si>
    <t>Ladrillo H12</t>
  </si>
  <si>
    <t>Tornillos Cabeza Rec</t>
  </si>
  <si>
    <t>Tuerca 12 MM</t>
  </si>
  <si>
    <t>Colbon Industrial</t>
  </si>
  <si>
    <t>Caretas Industriales</t>
  </si>
  <si>
    <t>Broca Hierro 1/2</t>
  </si>
  <si>
    <t>Tornillo drywall 0,2*1/2</t>
  </si>
  <si>
    <t>Tubo PVC pesado Agua 1/2</t>
  </si>
  <si>
    <t>Codo Sanitario pesado 3"</t>
  </si>
  <si>
    <t>Tornillo  Carriaje 5"/3/4</t>
  </si>
  <si>
    <t>INICIO</t>
  </si>
  <si>
    <t>FACTURACIÓN Y CONTROL DE GASTOS</t>
  </si>
  <si>
    <t>Configura las variables de entorno que afecta al resto de la aplicación</t>
  </si>
  <si>
    <t>Introducir los productos y servicios que ofrece la empresa</t>
  </si>
  <si>
    <t>Introducir la información sobre los clientes de la empresa</t>
  </si>
  <si>
    <t>Introducir cada uno de los conceptos de ingresos que se generan en la empresa</t>
  </si>
  <si>
    <t>Visualizar un listado de las facturas emitidas</t>
  </si>
  <si>
    <t>Configurar los distintos tipos de gastos</t>
  </si>
  <si>
    <t>Introducir la información de los proveedores</t>
  </si>
  <si>
    <t>Introducir cada uno de los conceptos de gastos que se generan</t>
  </si>
  <si>
    <t>Visualizar un listado de las facturas recibidas por la empresa</t>
  </si>
  <si>
    <t>Datos para realizar factura</t>
  </si>
  <si>
    <t>Fecha de factura</t>
  </si>
  <si>
    <t>Utl. N° Fac</t>
  </si>
  <si>
    <t>Utl Fecha</t>
  </si>
  <si>
    <t>Numero Automatico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</si>
</sst>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&quot;$&quot;\ #,##0.00"/>
    <numFmt numFmtId="165" formatCode="0&quot; Dias&quot;"/>
    <numFmt numFmtId="166" formatCode="0.0%"/>
    <numFmt numFmtId="167" formatCode="0.0"/>
    <numFmt numFmtId="168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0"/>
      <name val="Arial Narrow"/>
      <family val="2"/>
    </font>
    <font>
      <b/>
      <sz val="20"/>
      <color theme="0"/>
      <name val="Arial Narrow"/>
      <family val="2"/>
    </font>
    <font>
      <b/>
      <sz val="20"/>
      <color indexed="9"/>
      <name val="Arial Narrow"/>
      <family val="2"/>
    </font>
    <font>
      <b/>
      <sz val="11"/>
      <color theme="8" tint="-0.249977111117893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0"/>
      <name val="Arial Narrow"/>
      <family val="2"/>
    </font>
    <font>
      <sz val="13"/>
      <color theme="1"/>
      <name val="Calibri"/>
      <family val="2"/>
      <scheme val="minor"/>
    </font>
    <font>
      <sz val="12"/>
      <color theme="1"/>
      <name val="Arial Narrow"/>
      <family val="2"/>
    </font>
    <font>
      <b/>
      <sz val="13"/>
      <color theme="8" tint="-0.499984740745262"/>
      <name val="Arial Narrow"/>
      <family val="2"/>
    </font>
    <font>
      <sz val="13"/>
      <color theme="1"/>
      <name val="Arial Narrow"/>
      <family val="2"/>
    </font>
    <font>
      <b/>
      <sz val="13"/>
      <color theme="0"/>
      <name val="Arial Narrow"/>
      <family val="2"/>
    </font>
    <font>
      <sz val="11"/>
      <color theme="1"/>
      <name val="Arial Narrow"/>
    </font>
    <font>
      <sz val="14"/>
      <color theme="1"/>
      <name val="Arial Narrow"/>
      <family val="2"/>
    </font>
    <font>
      <sz val="16"/>
      <color theme="1"/>
      <name val="Arial Narrow"/>
      <family val="2"/>
    </font>
    <font>
      <sz val="13"/>
      <color theme="0"/>
      <name val="Arial Narrow"/>
      <family val="2"/>
    </font>
    <font>
      <sz val="13"/>
      <color theme="8"/>
      <name val="Arial Narrow"/>
      <family val="2"/>
    </font>
    <font>
      <b/>
      <sz val="13"/>
      <color theme="8" tint="-0.249977111117893"/>
      <name val="Aharoni"/>
      <charset val="177"/>
    </font>
    <font>
      <b/>
      <sz val="22"/>
      <color indexed="9"/>
      <name val="Arial Narrow"/>
      <family val="2"/>
    </font>
    <font>
      <sz val="13"/>
      <color theme="1"/>
      <name val="Arial Narrow"/>
    </font>
    <font>
      <b/>
      <sz val="13"/>
      <color theme="1"/>
      <name val="Arial Narrow"/>
      <family val="2"/>
    </font>
    <font>
      <b/>
      <sz val="20"/>
      <color rgb="FFFFFF00"/>
      <name val="Arial Narrow"/>
      <family val="2"/>
    </font>
    <font>
      <sz val="12"/>
      <color theme="0"/>
      <name val="Arial Narrow"/>
      <family val="2"/>
    </font>
    <font>
      <b/>
      <sz val="12"/>
      <color theme="0"/>
      <name val="Arial Narrow"/>
      <family val="2"/>
    </font>
    <font>
      <b/>
      <sz val="20"/>
      <color theme="1"/>
      <name val="Arial Narrow"/>
      <family val="2"/>
    </font>
    <font>
      <b/>
      <sz val="12"/>
      <color theme="8" tint="-0.249977111117893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8" tint="-0.249977111117893"/>
      </bottom>
      <diagonal/>
    </border>
    <border>
      <left/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 style="thin">
        <color theme="8" tint="-0.249977111117893"/>
      </bottom>
      <diagonal/>
    </border>
    <border>
      <left/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/>
      <right style="thin">
        <color theme="8" tint="-0.249977111117893"/>
      </right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/>
      <bottom/>
      <diagonal/>
    </border>
    <border>
      <left style="thin">
        <color theme="8" tint="-0.249977111117893"/>
      </left>
      <right style="thin">
        <color theme="8" tint="-0.249977111117893"/>
      </right>
      <top/>
      <bottom style="thin">
        <color theme="8" tint="-0.249977111117893"/>
      </bottom>
      <diagonal/>
    </border>
    <border>
      <left style="thin">
        <color theme="8" tint="-0.249977111117893"/>
      </left>
      <right style="thin">
        <color theme="8" tint="-0.249977111117893"/>
      </right>
      <top style="thin">
        <color theme="8" tint="-0.249977111117893"/>
      </top>
      <bottom/>
      <diagonal/>
    </border>
    <border>
      <left style="thin">
        <color theme="8" tint="-0.249977111117893"/>
      </left>
      <right/>
      <top style="thin">
        <color theme="8" tint="-0.249977111117893"/>
      </top>
      <bottom/>
      <diagonal/>
    </border>
    <border>
      <left/>
      <right style="thin">
        <color theme="8" tint="-0.249977111117893"/>
      </right>
      <top style="thin">
        <color theme="8" tint="-0.249977111117893"/>
      </top>
      <bottom/>
      <diagonal/>
    </border>
    <border>
      <left/>
      <right/>
      <top style="thin">
        <color theme="8" tint="-0.249977111117893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0" fontId="2" fillId="2" borderId="0" xfId="0" applyFont="1" applyFill="1"/>
    <xf numFmtId="0" fontId="2" fillId="0" borderId="0" xfId="0" applyFont="1"/>
    <xf numFmtId="0" fontId="3" fillId="2" borderId="0" xfId="0" applyFont="1" applyFill="1"/>
    <xf numFmtId="0" fontId="2" fillId="0" borderId="1" xfId="0" applyFont="1" applyBorder="1"/>
    <xf numFmtId="0" fontId="6" fillId="0" borderId="1" xfId="0" applyFont="1" applyBorder="1"/>
    <xf numFmtId="0" fontId="2" fillId="0" borderId="1" xfId="0" applyFont="1" applyBorder="1" applyAlignment="1">
      <alignment horizontal="left"/>
    </xf>
    <xf numFmtId="0" fontId="7" fillId="0" borderId="1" xfId="2" applyBorder="1"/>
    <xf numFmtId="9" fontId="2" fillId="0" borderId="2" xfId="1" applyFont="1" applyBorder="1" applyAlignment="1">
      <alignment horizontal="left"/>
    </xf>
    <xf numFmtId="9" fontId="2" fillId="0" borderId="0" xfId="1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165" fontId="2" fillId="0" borderId="0" xfId="0" applyNumberFormat="1" applyFont="1" applyAlignment="1">
      <alignment horizontal="center"/>
    </xf>
    <xf numFmtId="14" fontId="2" fillId="0" borderId="0" xfId="0" applyNumberFormat="1" applyFont="1"/>
    <xf numFmtId="14" fontId="2" fillId="0" borderId="0" xfId="0" applyNumberFormat="1" applyFont="1" applyAlignment="1">
      <alignment horizontal="center"/>
    </xf>
    <xf numFmtId="166" fontId="2" fillId="0" borderId="0" xfId="1" applyNumberFormat="1" applyFont="1"/>
    <xf numFmtId="44" fontId="2" fillId="0" borderId="0" xfId="4" applyFont="1"/>
    <xf numFmtId="44" fontId="8" fillId="4" borderId="0" xfId="4" applyFont="1" applyFill="1"/>
    <xf numFmtId="14" fontId="8" fillId="4" borderId="0" xfId="0" applyNumberFormat="1" applyFont="1" applyFill="1" applyAlignment="1">
      <alignment horizontal="right"/>
    </xf>
    <xf numFmtId="1" fontId="2" fillId="0" borderId="0" xfId="0" applyNumberFormat="1" applyFont="1"/>
    <xf numFmtId="0" fontId="5" fillId="3" borderId="0" xfId="0" applyFont="1" applyFill="1" applyAlignment="1">
      <alignment vertical="center"/>
    </xf>
    <xf numFmtId="0" fontId="2" fillId="3" borderId="0" xfId="0" applyFont="1" applyFill="1"/>
    <xf numFmtId="0" fontId="0" fillId="0" borderId="0" xfId="0" pivotButton="1"/>
    <xf numFmtId="164" fontId="0" fillId="0" borderId="0" xfId="0" applyNumberFormat="1"/>
    <xf numFmtId="0" fontId="10" fillId="0" borderId="0" xfId="0" applyFont="1"/>
    <xf numFmtId="0" fontId="11" fillId="6" borderId="3" xfId="0" applyFont="1" applyFill="1" applyBorder="1"/>
    <xf numFmtId="0" fontId="12" fillId="0" borderId="0" xfId="0" applyFont="1"/>
    <xf numFmtId="167" fontId="11" fillId="6" borderId="3" xfId="3" applyNumberFormat="1" applyFont="1" applyFill="1" applyBorder="1"/>
    <xf numFmtId="0" fontId="9" fillId="0" borderId="0" xfId="0" pivotButton="1" applyFont="1"/>
    <xf numFmtId="0" fontId="13" fillId="5" borderId="0" xfId="0" applyFont="1" applyFill="1" applyAlignment="1">
      <alignment horizontal="center"/>
    </xf>
    <xf numFmtId="0" fontId="9" fillId="0" borderId="0" xfId="0" applyFont="1"/>
    <xf numFmtId="14" fontId="11" fillId="6" borderId="3" xfId="0" applyNumberFormat="1" applyFont="1" applyFill="1" applyBorder="1"/>
    <xf numFmtId="0" fontId="5" fillId="2" borderId="0" xfId="0" applyFont="1" applyFill="1" applyAlignment="1">
      <alignment vertical="center"/>
    </xf>
    <xf numFmtId="1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right"/>
    </xf>
    <xf numFmtId="0" fontId="14" fillId="0" borderId="0" xfId="0" applyFont="1"/>
    <xf numFmtId="44" fontId="14" fillId="0" borderId="0" xfId="4" applyFont="1"/>
    <xf numFmtId="44" fontId="2" fillId="7" borderId="0" xfId="4" applyFont="1" applyFill="1"/>
    <xf numFmtId="44" fontId="14" fillId="7" borderId="0" xfId="4" applyFont="1" applyFill="1"/>
    <xf numFmtId="0" fontId="2" fillId="2" borderId="0" xfId="0" applyFont="1" applyFill="1" applyAlignment="1"/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4" fontId="2" fillId="0" borderId="0" xfId="0" applyNumberFormat="1" applyFont="1" applyAlignment="1">
      <alignment horizontal="right"/>
    </xf>
    <xf numFmtId="0" fontId="15" fillId="0" borderId="0" xfId="0" applyFont="1"/>
    <xf numFmtId="44" fontId="10" fillId="0" borderId="0" xfId="0" applyNumberFormat="1" applyFont="1"/>
    <xf numFmtId="44" fontId="15" fillId="0" borderId="0" xfId="0" applyNumberFormat="1" applyFont="1"/>
    <xf numFmtId="0" fontId="10" fillId="0" borderId="0" xfId="0" pivotButton="1" applyFont="1"/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6" fillId="0" borderId="0" xfId="0" applyNumberFormat="1" applyFont="1"/>
    <xf numFmtId="0" fontId="12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19" fillId="0" borderId="0" xfId="0" applyFont="1" applyAlignment="1">
      <alignment vertical="center"/>
    </xf>
    <xf numFmtId="0" fontId="17" fillId="3" borderId="0" xfId="0" applyFont="1" applyFill="1"/>
    <xf numFmtId="0" fontId="13" fillId="5" borderId="3" xfId="0" applyFont="1" applyFill="1" applyBorder="1" applyAlignment="1">
      <alignment horizontal="center"/>
    </xf>
    <xf numFmtId="0" fontId="12" fillId="3" borderId="0" xfId="0" applyFont="1" applyFill="1"/>
    <xf numFmtId="0" fontId="9" fillId="0" borderId="0" xfId="0" applyFont="1" applyAlignment="1">
      <alignment horizontal="left"/>
    </xf>
    <xf numFmtId="3" fontId="2" fillId="0" borderId="0" xfId="0" applyNumberFormat="1" applyFont="1"/>
    <xf numFmtId="1" fontId="9" fillId="0" borderId="0" xfId="0" applyNumberFormat="1" applyFont="1" applyAlignment="1">
      <alignment horizontal="left"/>
    </xf>
    <xf numFmtId="0" fontId="21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center"/>
    </xf>
    <xf numFmtId="0" fontId="21" fillId="0" borderId="0" xfId="0" pivotButton="1" applyFont="1"/>
    <xf numFmtId="164" fontId="22" fillId="0" borderId="0" xfId="0" applyNumberFormat="1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/>
    <xf numFmtId="0" fontId="24" fillId="2" borderId="0" xfId="0" applyFont="1" applyFill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6" fillId="3" borderId="0" xfId="0" applyFont="1" applyFill="1" applyAlignment="1">
      <alignment horizontal="left" vertical="center"/>
    </xf>
    <xf numFmtId="0" fontId="27" fillId="3" borderId="16" xfId="0" applyFont="1" applyFill="1" applyBorder="1" applyAlignment="1">
      <alignment horizontal="left" vertical="center"/>
    </xf>
    <xf numFmtId="0" fontId="2" fillId="0" borderId="0" xfId="0" applyFont="1" applyFill="1"/>
    <xf numFmtId="0" fontId="2" fillId="3" borderId="0" xfId="0" applyFont="1" applyFill="1" applyAlignment="1">
      <alignment horizontal="left" indent="3"/>
    </xf>
    <xf numFmtId="1" fontId="27" fillId="3" borderId="16" xfId="0" applyNumberFormat="1" applyFont="1" applyFill="1" applyBorder="1" applyAlignment="1">
      <alignment horizontal="center" vertical="center"/>
    </xf>
    <xf numFmtId="0" fontId="27" fillId="3" borderId="16" xfId="0" applyFont="1" applyFill="1" applyBorder="1" applyAlignment="1">
      <alignment horizontal="center" vertical="center"/>
    </xf>
    <xf numFmtId="14" fontId="27" fillId="3" borderId="16" xfId="0" applyNumberFormat="1" applyFont="1" applyFill="1" applyBorder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1" fontId="27" fillId="8" borderId="16" xfId="0" applyNumberFormat="1" applyFont="1" applyFill="1" applyBorder="1" applyAlignment="1">
      <alignment horizontal="left" vertical="center"/>
    </xf>
    <xf numFmtId="0" fontId="5" fillId="2" borderId="0" xfId="0" applyFont="1" applyFill="1" applyAlignment="1">
      <alignment horizontal="center"/>
    </xf>
    <xf numFmtId="0" fontId="25" fillId="2" borderId="0" xfId="0" applyFont="1" applyFill="1" applyBorder="1" applyAlignment="1">
      <alignment horizontal="left" vertical="center"/>
    </xf>
    <xf numFmtId="0" fontId="27" fillId="8" borderId="16" xfId="0" applyFont="1" applyFill="1" applyBorder="1" applyAlignment="1">
      <alignment horizontal="left" vertical="center"/>
    </xf>
    <xf numFmtId="168" fontId="27" fillId="8" borderId="16" xfId="0" applyNumberFormat="1" applyFont="1" applyFill="1" applyBorder="1" applyAlignment="1">
      <alignment horizontal="left" vertical="center"/>
    </xf>
    <xf numFmtId="164" fontId="0" fillId="6" borderId="12" xfId="0" applyNumberFormat="1" applyFont="1" applyFill="1" applyBorder="1" applyAlignment="1">
      <alignment horizontal="center" vertical="center"/>
    </xf>
    <xf numFmtId="164" fontId="11" fillId="6" borderId="10" xfId="0" applyNumberFormat="1" applyFont="1" applyFill="1" applyBorder="1" applyAlignment="1">
      <alignment horizontal="center" vertical="center"/>
    </xf>
    <xf numFmtId="164" fontId="11" fillId="6" borderId="11" xfId="0" applyNumberFormat="1" applyFont="1" applyFill="1" applyBorder="1" applyAlignment="1">
      <alignment horizontal="center" vertical="center"/>
    </xf>
    <xf numFmtId="164" fontId="0" fillId="6" borderId="13" xfId="0" applyNumberFormat="1" applyFont="1" applyFill="1" applyBorder="1" applyAlignment="1">
      <alignment horizontal="center" vertical="center"/>
    </xf>
    <xf numFmtId="164" fontId="11" fillId="6" borderId="14" xfId="0" applyNumberFormat="1" applyFont="1" applyFill="1" applyBorder="1" applyAlignment="1">
      <alignment horizontal="center" vertical="center"/>
    </xf>
    <xf numFmtId="164" fontId="11" fillId="6" borderId="8" xfId="0" applyNumberFormat="1" applyFont="1" applyFill="1" applyBorder="1" applyAlignment="1">
      <alignment horizontal="center" vertical="center"/>
    </xf>
    <xf numFmtId="164" fontId="11" fillId="6" borderId="9" xfId="0" applyNumberFormat="1" applyFont="1" applyFill="1" applyBorder="1" applyAlignment="1">
      <alignment horizontal="center" vertical="center"/>
    </xf>
    <xf numFmtId="164" fontId="11" fillId="6" borderId="4" xfId="0" applyNumberFormat="1" applyFont="1" applyFill="1" applyBorder="1" applyAlignment="1">
      <alignment horizontal="center" vertical="center"/>
    </xf>
    <xf numFmtId="164" fontId="11" fillId="6" borderId="5" xfId="0" applyNumberFormat="1" applyFont="1" applyFill="1" applyBorder="1" applyAlignment="1">
      <alignment horizontal="center" vertical="center"/>
    </xf>
    <xf numFmtId="164" fontId="11" fillId="6" borderId="13" xfId="0" applyNumberFormat="1" applyFont="1" applyFill="1" applyBorder="1" applyAlignment="1">
      <alignment horizontal="center" vertical="center"/>
    </xf>
    <xf numFmtId="164" fontId="11" fillId="6" borderId="15" xfId="0" applyNumberFormat="1" applyFont="1" applyFill="1" applyBorder="1" applyAlignment="1">
      <alignment horizontal="center" vertical="center"/>
    </xf>
    <xf numFmtId="164" fontId="11" fillId="6" borderId="0" xfId="0" applyNumberFormat="1" applyFont="1" applyFill="1" applyBorder="1" applyAlignment="1">
      <alignment horizontal="center" vertical="center"/>
    </xf>
    <xf numFmtId="164" fontId="11" fillId="6" borderId="1" xfId="0" applyNumberFormat="1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left"/>
    </xf>
    <xf numFmtId="0" fontId="11" fillId="6" borderId="2" xfId="0" applyFont="1" applyFill="1" applyBorder="1" applyAlignment="1">
      <alignment horizontal="left"/>
    </xf>
    <xf numFmtId="0" fontId="11" fillId="6" borderId="7" xfId="0" applyFont="1" applyFill="1" applyBorder="1" applyAlignment="1">
      <alignment horizontal="left"/>
    </xf>
    <xf numFmtId="0" fontId="13" fillId="5" borderId="3" xfId="0" applyFont="1" applyFill="1" applyBorder="1" applyAlignment="1">
      <alignment horizontal="center"/>
    </xf>
    <xf numFmtId="0" fontId="20" fillId="2" borderId="0" xfId="0" applyFont="1" applyFill="1" applyAlignment="1">
      <alignment horizontal="left" vertical="center"/>
    </xf>
    <xf numFmtId="0" fontId="0" fillId="6" borderId="6" xfId="0" applyFont="1" applyFill="1" applyBorder="1" applyAlignment="1">
      <alignment horizontal="left"/>
    </xf>
    <xf numFmtId="0" fontId="5" fillId="2" borderId="0" xfId="0" applyFont="1" applyFill="1" applyAlignment="1">
      <alignment horizontal="center" vertical="center"/>
    </xf>
  </cellXfs>
  <cellStyles count="5">
    <cellStyle name="Hipervínculo" xfId="2" builtinId="8"/>
    <cellStyle name="Millares" xfId="3" builtinId="3"/>
    <cellStyle name="Moneda" xfId="4" builtinId="4"/>
    <cellStyle name="Normal" xfId="0" builtinId="0"/>
    <cellStyle name="Porcentaje" xfId="1" builtinId="5"/>
  </cellStyles>
  <dxfs count="105">
    <dxf>
      <font>
        <color theme="0" tint="-0.34998626667073579"/>
      </font>
      <fill>
        <patternFill>
          <bgColor theme="0" tint="-0.24994659260841701"/>
        </patternFill>
      </fill>
    </dxf>
    <dxf>
      <font>
        <sz val="16"/>
      </font>
    </dxf>
    <dxf>
      <font>
        <sz val="14"/>
      </font>
    </dxf>
    <dxf>
      <font>
        <sz val="14"/>
      </font>
    </dxf>
    <dxf>
      <font>
        <sz val="12"/>
      </font>
    </dxf>
    <dxf>
      <font>
        <name val="Arial Narrow"/>
        <scheme val="none"/>
      </font>
    </dxf>
    <dxf>
      <alignment horizontal="center" readingOrder="0"/>
    </dxf>
    <dxf>
      <numFmt numFmtId="34" formatCode="_(&quot;$&quot;\ * #,##0.00_);_(&quot;$&quot;\ * \(#,##0.00\);_(&quot;$&quot;\ * &quot;-&quot;??_);_(@_)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34" formatCode="_(&quot;$&quot;\ * #,##0.00_);_(&quot;$&quot;\ * \(#,##0.00\);_(&quot;$&quot;\ 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b/>
      </font>
    </dxf>
    <dxf>
      <numFmt numFmtId="164" formatCode="&quot;$&quot;\ #,##0.00"/>
    </dxf>
    <dxf>
      <font>
        <name val="Arial Narrow"/>
        <scheme val="none"/>
      </font>
    </dxf>
    <dxf>
      <font>
        <name val="Arial Narrow"/>
        <scheme val="none"/>
      </font>
    </dxf>
    <dxf>
      <font>
        <name val="Arial Narrow"/>
        <scheme val="none"/>
      </font>
    </dxf>
    <dxf>
      <font>
        <sz val="13"/>
      </font>
    </dxf>
    <dxf>
      <numFmt numFmtId="0" formatCode="General"/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scheme val="none"/>
      </font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scheme val="none"/>
      </font>
      <numFmt numFmtId="19" formatCode="dd/mm/yyyy"/>
      <fill>
        <patternFill patternType="solid">
          <fgColor indexed="64"/>
          <bgColor theme="0" tint="-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5" formatCode="0&quot; Dias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scheme val="none"/>
      </font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scheme val="none"/>
      </font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Narrow"/>
        <scheme val="none"/>
      </font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5" formatCode="0&quot; Dias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4" formatCode="&quot;$&quot;\ #,##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G$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png"/><Relationship Id="rId3" Type="http://schemas.openxmlformats.org/officeDocument/2006/relationships/image" Target="../media/image13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0" Type="http://schemas.openxmlformats.org/officeDocument/2006/relationships/image" Target="../media/image6.png"/><Relationship Id="rId4" Type="http://schemas.openxmlformats.org/officeDocument/2006/relationships/image" Target="../media/image14.png"/><Relationship Id="rId9" Type="http://schemas.openxmlformats.org/officeDocument/2006/relationships/image" Target="../media/image5.png"/><Relationship Id="rId1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5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1095376</xdr:colOff>
      <xdr:row>3</xdr:row>
      <xdr:rowOff>200024</xdr:rowOff>
    </xdr:from>
    <xdr:to>
      <xdr:col>3</xdr:col>
      <xdr:colOff>358696</xdr:colOff>
      <xdr:row>5</xdr:row>
      <xdr:rowOff>28575</xdr:rowOff>
    </xdr:to>
    <xdr:sp macro="" textlink="">
      <xdr:nvSpPr>
        <xdr:cNvPr id="3" name="2 CuadroTexto"/>
        <xdr:cNvSpPr txBox="1"/>
      </xdr:nvSpPr>
      <xdr:spPr>
        <a:xfrm>
          <a:off x="1323976" y="828674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Configuración 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6</xdr:row>
      <xdr:rowOff>19049</xdr:rowOff>
    </xdr:from>
    <xdr:to>
      <xdr:col>3</xdr:col>
      <xdr:colOff>358696</xdr:colOff>
      <xdr:row>7</xdr:row>
      <xdr:rowOff>57150</xdr:rowOff>
    </xdr:to>
    <xdr:sp macro="" textlink="">
      <xdr:nvSpPr>
        <xdr:cNvPr id="4" name="3 CuadroTexto"/>
        <xdr:cNvSpPr txBox="1"/>
      </xdr:nvSpPr>
      <xdr:spPr>
        <a:xfrm>
          <a:off x="1323976" y="1276349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Productos y Servicios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8</xdr:row>
      <xdr:rowOff>28574</xdr:rowOff>
    </xdr:from>
    <xdr:to>
      <xdr:col>3</xdr:col>
      <xdr:colOff>358696</xdr:colOff>
      <xdr:row>9</xdr:row>
      <xdr:rowOff>66675</xdr:rowOff>
    </xdr:to>
    <xdr:sp macro="" textlink="">
      <xdr:nvSpPr>
        <xdr:cNvPr id="5" name="4 CuadroTexto"/>
        <xdr:cNvSpPr txBox="1"/>
      </xdr:nvSpPr>
      <xdr:spPr>
        <a:xfrm>
          <a:off x="1323976" y="1704974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i="0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Clientes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10</xdr:row>
      <xdr:rowOff>57149</xdr:rowOff>
    </xdr:from>
    <xdr:to>
      <xdr:col>3</xdr:col>
      <xdr:colOff>358696</xdr:colOff>
      <xdr:row>11</xdr:row>
      <xdr:rowOff>95250</xdr:rowOff>
    </xdr:to>
    <xdr:sp macro="" textlink="">
      <xdr:nvSpPr>
        <xdr:cNvPr id="6" name="5 CuadroTexto"/>
        <xdr:cNvSpPr txBox="1"/>
      </xdr:nvSpPr>
      <xdr:spPr>
        <a:xfrm>
          <a:off x="1323976" y="2152649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Ingresos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12</xdr:row>
      <xdr:rowOff>19049</xdr:rowOff>
    </xdr:from>
    <xdr:to>
      <xdr:col>3</xdr:col>
      <xdr:colOff>358696</xdr:colOff>
      <xdr:row>13</xdr:row>
      <xdr:rowOff>57150</xdr:rowOff>
    </xdr:to>
    <xdr:sp macro="" textlink="">
      <xdr:nvSpPr>
        <xdr:cNvPr id="7" name="6 CuadroTexto"/>
        <xdr:cNvSpPr txBox="1"/>
      </xdr:nvSpPr>
      <xdr:spPr>
        <a:xfrm>
          <a:off x="1323976" y="2533649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Listado facturas emitidas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14</xdr:row>
      <xdr:rowOff>47624</xdr:rowOff>
    </xdr:from>
    <xdr:to>
      <xdr:col>3</xdr:col>
      <xdr:colOff>358696</xdr:colOff>
      <xdr:row>15</xdr:row>
      <xdr:rowOff>85725</xdr:rowOff>
    </xdr:to>
    <xdr:sp macro="" textlink="">
      <xdr:nvSpPr>
        <xdr:cNvPr id="8" name="7 CuadroTexto"/>
        <xdr:cNvSpPr txBox="1"/>
      </xdr:nvSpPr>
      <xdr:spPr>
        <a:xfrm>
          <a:off x="1323976" y="2981324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Tipos de gastos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16</xdr:row>
      <xdr:rowOff>57149</xdr:rowOff>
    </xdr:from>
    <xdr:to>
      <xdr:col>3</xdr:col>
      <xdr:colOff>358696</xdr:colOff>
      <xdr:row>17</xdr:row>
      <xdr:rowOff>95250</xdr:rowOff>
    </xdr:to>
    <xdr:sp macro="" textlink="">
      <xdr:nvSpPr>
        <xdr:cNvPr id="9" name="8 CuadroTexto"/>
        <xdr:cNvSpPr txBox="1"/>
      </xdr:nvSpPr>
      <xdr:spPr>
        <a:xfrm>
          <a:off x="1323976" y="3409949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Proveedores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1095376</xdr:colOff>
      <xdr:row>18</xdr:row>
      <xdr:rowOff>85724</xdr:rowOff>
    </xdr:from>
    <xdr:to>
      <xdr:col>3</xdr:col>
      <xdr:colOff>358696</xdr:colOff>
      <xdr:row>19</xdr:row>
      <xdr:rowOff>123825</xdr:rowOff>
    </xdr:to>
    <xdr:sp macro="" textlink="">
      <xdr:nvSpPr>
        <xdr:cNvPr id="10" name="9 CuadroTexto"/>
        <xdr:cNvSpPr txBox="1"/>
      </xdr:nvSpPr>
      <xdr:spPr>
        <a:xfrm>
          <a:off x="1323976" y="3857624"/>
          <a:ext cx="1796970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Gastos</a:t>
          </a:r>
        </a:p>
        <a:p>
          <a:endParaRPr lang="es-CO" sz="1100"/>
        </a:p>
      </xdr:txBody>
    </xdr:sp>
    <xdr:clientData/>
  </xdr:twoCellAnchor>
  <xdr:twoCellAnchor>
    <xdr:from>
      <xdr:col>2</xdr:col>
      <xdr:colOff>1095375</xdr:colOff>
      <xdr:row>19</xdr:row>
      <xdr:rowOff>209549</xdr:rowOff>
    </xdr:from>
    <xdr:to>
      <xdr:col>3</xdr:col>
      <xdr:colOff>533400</xdr:colOff>
      <xdr:row>21</xdr:row>
      <xdr:rowOff>38100</xdr:rowOff>
    </xdr:to>
    <xdr:sp macro="" textlink="">
      <xdr:nvSpPr>
        <xdr:cNvPr id="19" name="18 CuadroTexto"/>
        <xdr:cNvSpPr txBox="1"/>
      </xdr:nvSpPr>
      <xdr:spPr>
        <a:xfrm>
          <a:off x="1323975" y="4190999"/>
          <a:ext cx="1971675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i="0" u="sng">
              <a:solidFill>
                <a:schemeClr val="bg1"/>
              </a:solidFill>
              <a:effectLst/>
              <a:latin typeface="Arial Narrow" pitchFamily="34" charset="0"/>
              <a:ea typeface="+mn-ea"/>
              <a:cs typeface="+mn-cs"/>
            </a:rPr>
            <a:t>Listado de facturas recibidas</a:t>
          </a:r>
        </a:p>
        <a:p>
          <a:endParaRPr lang="es-CO" sz="1100"/>
        </a:p>
      </xdr:txBody>
    </xdr:sp>
    <xdr:clientData/>
  </xdr:twoCellAnchor>
  <xdr:twoCellAnchor editAs="oneCell">
    <xdr:from>
      <xdr:col>2</xdr:col>
      <xdr:colOff>314325</xdr:colOff>
      <xdr:row>3</xdr:row>
      <xdr:rowOff>157163</xdr:rowOff>
    </xdr:from>
    <xdr:to>
      <xdr:col>2</xdr:col>
      <xdr:colOff>655516</xdr:colOff>
      <xdr:row>5</xdr:row>
      <xdr:rowOff>85814</xdr:rowOff>
    </xdr:to>
    <xdr:pic macro="[0]!IrAConfiguracion"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785813"/>
          <a:ext cx="341191" cy="347751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6</xdr:row>
      <xdr:rowOff>6350</xdr:rowOff>
    </xdr:from>
    <xdr:to>
      <xdr:col>2</xdr:col>
      <xdr:colOff>617535</xdr:colOff>
      <xdr:row>7</xdr:row>
      <xdr:rowOff>25823</xdr:rowOff>
    </xdr:to>
    <xdr:pic macro="[0]!IrAProductServ"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1263650"/>
          <a:ext cx="303210" cy="229023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8</xdr:row>
      <xdr:rowOff>11241</xdr:rowOff>
    </xdr:from>
    <xdr:to>
      <xdr:col>2</xdr:col>
      <xdr:colOff>569912</xdr:colOff>
      <xdr:row>9</xdr:row>
      <xdr:rowOff>57150</xdr:rowOff>
    </xdr:to>
    <xdr:pic macro="[0]!IrAClientes">
      <xdr:nvPicPr>
        <xdr:cNvPr id="15" name="14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1687641"/>
          <a:ext cx="255587" cy="255459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18</xdr:row>
      <xdr:rowOff>57150</xdr:rowOff>
    </xdr:from>
    <xdr:to>
      <xdr:col>2</xdr:col>
      <xdr:colOff>582388</xdr:colOff>
      <xdr:row>19</xdr:row>
      <xdr:rowOff>120650</xdr:rowOff>
    </xdr:to>
    <xdr:pic macro="[0]!IrAGastos"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3829050"/>
          <a:ext cx="268063" cy="273050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10</xdr:row>
      <xdr:rowOff>6350</xdr:rowOff>
    </xdr:from>
    <xdr:to>
      <xdr:col>2</xdr:col>
      <xdr:colOff>600075</xdr:colOff>
      <xdr:row>11</xdr:row>
      <xdr:rowOff>82550</xdr:rowOff>
    </xdr:to>
    <xdr:pic macro="[0]!IrAIngresos">
      <xdr:nvPicPr>
        <xdr:cNvPr id="20" name="19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101850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2</xdr:col>
      <xdr:colOff>266700</xdr:colOff>
      <xdr:row>11</xdr:row>
      <xdr:rowOff>180975</xdr:rowOff>
    </xdr:from>
    <xdr:to>
      <xdr:col>2</xdr:col>
      <xdr:colOff>590550</xdr:colOff>
      <xdr:row>13</xdr:row>
      <xdr:rowOff>85725</xdr:rowOff>
    </xdr:to>
    <xdr:pic macro="[0]!IrAListaEmitida">
      <xdr:nvPicPr>
        <xdr:cNvPr id="21" name="20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486025"/>
          <a:ext cx="323850" cy="32385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20</xdr:row>
      <xdr:rowOff>19050</xdr:rowOff>
    </xdr:from>
    <xdr:to>
      <xdr:col>2</xdr:col>
      <xdr:colOff>584200</xdr:colOff>
      <xdr:row>21</xdr:row>
      <xdr:rowOff>146050</xdr:rowOff>
    </xdr:to>
    <xdr:pic macro="[0]!IrAListaRecibidas">
      <xdr:nvPicPr>
        <xdr:cNvPr id="22" name="21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0" y="4210050"/>
          <a:ext cx="336550" cy="336550"/>
        </a:xfrm>
        <a:prstGeom prst="rect">
          <a:avLst/>
        </a:prstGeom>
      </xdr:spPr>
    </xdr:pic>
    <xdr:clientData/>
  </xdr:twoCellAnchor>
  <xdr:twoCellAnchor editAs="oneCell">
    <xdr:from>
      <xdr:col>2</xdr:col>
      <xdr:colOff>266700</xdr:colOff>
      <xdr:row>13</xdr:row>
      <xdr:rowOff>187269</xdr:rowOff>
    </xdr:from>
    <xdr:to>
      <xdr:col>2</xdr:col>
      <xdr:colOff>558856</xdr:colOff>
      <xdr:row>15</xdr:row>
      <xdr:rowOff>60325</xdr:rowOff>
    </xdr:to>
    <xdr:pic macro="[0]!IrATiposGastos">
      <xdr:nvPicPr>
        <xdr:cNvPr id="24" name="23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911419"/>
          <a:ext cx="292156" cy="292156"/>
        </a:xfrm>
        <a:prstGeom prst="rect">
          <a:avLst/>
        </a:prstGeom>
      </xdr:spPr>
    </xdr:pic>
    <xdr:clientData/>
  </xdr:twoCellAnchor>
  <xdr:twoCellAnchor editAs="oneCell">
    <xdr:from>
      <xdr:col>2</xdr:col>
      <xdr:colOff>180975</xdr:colOff>
      <xdr:row>15</xdr:row>
      <xdr:rowOff>174625</xdr:rowOff>
    </xdr:from>
    <xdr:to>
      <xdr:col>2</xdr:col>
      <xdr:colOff>625419</xdr:colOff>
      <xdr:row>17</xdr:row>
      <xdr:rowOff>199969</xdr:rowOff>
    </xdr:to>
    <xdr:pic macro="[0]!IrAProveedores">
      <xdr:nvPicPr>
        <xdr:cNvPr id="25" name="24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" y="3317875"/>
          <a:ext cx="444444" cy="444444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3</xdr:row>
      <xdr:rowOff>171450</xdr:rowOff>
    </xdr:from>
    <xdr:to>
      <xdr:col>11</xdr:col>
      <xdr:colOff>752475</xdr:colOff>
      <xdr:row>5</xdr:row>
      <xdr:rowOff>0</xdr:rowOff>
    </xdr:to>
    <xdr:sp macro="[0]!ModoExcel" textlink="">
      <xdr:nvSpPr>
        <xdr:cNvPr id="26" name="25 CuadroTexto"/>
        <xdr:cNvSpPr txBox="1"/>
      </xdr:nvSpPr>
      <xdr:spPr>
        <a:xfrm>
          <a:off x="8096250" y="800100"/>
          <a:ext cx="151447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200" b="1" u="sng">
              <a:solidFill>
                <a:schemeClr val="bg1"/>
              </a:solidFill>
              <a:latin typeface="Arial Narrow" pitchFamily="34" charset="0"/>
            </a:rPr>
            <a:t>Modo</a:t>
          </a:r>
          <a:r>
            <a:rPr lang="es-CO" sz="1200" b="1" u="sng" baseline="0">
              <a:solidFill>
                <a:schemeClr val="bg1"/>
              </a:solidFill>
              <a:latin typeface="Arial Narrow" pitchFamily="34" charset="0"/>
            </a:rPr>
            <a:t> Excel</a:t>
          </a:r>
          <a:endParaRPr lang="es-CO" sz="1200" b="1" u="sng">
            <a:solidFill>
              <a:schemeClr val="bg1"/>
            </a:solidFill>
            <a:latin typeface="Arial Narrow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</xdr:row>
      <xdr:rowOff>0</xdr:rowOff>
    </xdr:from>
    <xdr:to>
      <xdr:col>0</xdr:col>
      <xdr:colOff>560266</xdr:colOff>
      <xdr:row>5</xdr:row>
      <xdr:rowOff>138201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838200"/>
          <a:ext cx="341191" cy="347751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6</xdr:row>
      <xdr:rowOff>58737</xdr:rowOff>
    </xdr:from>
    <xdr:to>
      <xdr:col>0</xdr:col>
      <xdr:colOff>522285</xdr:colOff>
      <xdr:row>7</xdr:row>
      <xdr:rowOff>78210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316037"/>
          <a:ext cx="303210" cy="229023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8</xdr:row>
      <xdr:rowOff>63628</xdr:rowOff>
    </xdr:from>
    <xdr:to>
      <xdr:col>0</xdr:col>
      <xdr:colOff>474662</xdr:colOff>
      <xdr:row>9</xdr:row>
      <xdr:rowOff>109537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740028"/>
          <a:ext cx="255587" cy="255459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18</xdr:row>
      <xdr:rowOff>109537</xdr:rowOff>
    </xdr:from>
    <xdr:to>
      <xdr:col>0</xdr:col>
      <xdr:colOff>487138</xdr:colOff>
      <xdr:row>19</xdr:row>
      <xdr:rowOff>173037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3881437"/>
          <a:ext cx="268063" cy="273050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10</xdr:row>
      <xdr:rowOff>58737</xdr:rowOff>
    </xdr:from>
    <xdr:to>
      <xdr:col>0</xdr:col>
      <xdr:colOff>504825</xdr:colOff>
      <xdr:row>11</xdr:row>
      <xdr:rowOff>134937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154237"/>
          <a:ext cx="285750" cy="28575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12</xdr:row>
      <xdr:rowOff>23812</xdr:rowOff>
    </xdr:from>
    <xdr:to>
      <xdr:col>0</xdr:col>
      <xdr:colOff>495300</xdr:colOff>
      <xdr:row>13</xdr:row>
      <xdr:rowOff>138112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538412"/>
          <a:ext cx="323850" cy="32385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20</xdr:row>
      <xdr:rowOff>71437</xdr:rowOff>
    </xdr:from>
    <xdr:to>
      <xdr:col>0</xdr:col>
      <xdr:colOff>488950</xdr:colOff>
      <xdr:row>21</xdr:row>
      <xdr:rowOff>198437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262437"/>
          <a:ext cx="336550" cy="336550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14</xdr:row>
      <xdr:rowOff>30106</xdr:rowOff>
    </xdr:from>
    <xdr:to>
      <xdr:col>0</xdr:col>
      <xdr:colOff>463606</xdr:colOff>
      <xdr:row>15</xdr:row>
      <xdr:rowOff>112712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963806"/>
          <a:ext cx="292156" cy="292156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16</xdr:row>
      <xdr:rowOff>17462</xdr:rowOff>
    </xdr:from>
    <xdr:to>
      <xdr:col>0</xdr:col>
      <xdr:colOff>530169</xdr:colOff>
      <xdr:row>18</xdr:row>
      <xdr:rowOff>42806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370262"/>
          <a:ext cx="444444" cy="444444"/>
        </a:xfrm>
        <a:prstGeom prst="rect">
          <a:avLst/>
        </a:prstGeom>
      </xdr:spPr>
    </xdr:pic>
    <xdr:clientData/>
  </xdr:twoCellAnchor>
  <xdr:twoCellAnchor editAs="oneCell">
    <xdr:from>
      <xdr:col>0</xdr:col>
      <xdr:colOff>235744</xdr:colOff>
      <xdr:row>2</xdr:row>
      <xdr:rowOff>69850</xdr:rowOff>
    </xdr:from>
    <xdr:to>
      <xdr:col>0</xdr:col>
      <xdr:colOff>626269</xdr:colOff>
      <xdr:row>3</xdr:row>
      <xdr:rowOff>171449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44" y="498475"/>
          <a:ext cx="390525" cy="315912"/>
        </a:xfrm>
        <a:prstGeom prst="rect">
          <a:avLst/>
        </a:prstGeom>
      </xdr:spPr>
    </xdr:pic>
    <xdr:clientData/>
  </xdr:twoCellAnchor>
  <xdr:twoCellAnchor>
    <xdr:from>
      <xdr:col>3</xdr:col>
      <xdr:colOff>1416844</xdr:colOff>
      <xdr:row>0</xdr:row>
      <xdr:rowOff>166686</xdr:rowOff>
    </xdr:from>
    <xdr:to>
      <xdr:col>4</xdr:col>
      <xdr:colOff>559593</xdr:colOff>
      <xdr:row>1</xdr:row>
      <xdr:rowOff>202404</xdr:rowOff>
    </xdr:to>
    <xdr:sp macro="[0]!ModoExcel" textlink="">
      <xdr:nvSpPr>
        <xdr:cNvPr id="12" name="11 CuadroTexto"/>
        <xdr:cNvSpPr txBox="1"/>
      </xdr:nvSpPr>
      <xdr:spPr>
        <a:xfrm>
          <a:off x="3762375" y="166686"/>
          <a:ext cx="1726406" cy="250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400" b="1" u="sng">
              <a:solidFill>
                <a:schemeClr val="bg1"/>
              </a:solidFill>
              <a:latin typeface="Arial Narrow" pitchFamily="34" charset="0"/>
            </a:rPr>
            <a:t>Modo</a:t>
          </a:r>
          <a:r>
            <a:rPr lang="es-CO" sz="1400" b="1" u="sng" baseline="0">
              <a:solidFill>
                <a:schemeClr val="bg1"/>
              </a:solidFill>
              <a:latin typeface="Arial Narrow" pitchFamily="34" charset="0"/>
            </a:rPr>
            <a:t> Excel</a:t>
          </a:r>
          <a:endParaRPr lang="es-CO" sz="1400" b="1" u="sng">
            <a:solidFill>
              <a:schemeClr val="bg1"/>
            </a:solidFill>
            <a:latin typeface="Arial Narrow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34925</xdr:rowOff>
    </xdr:from>
    <xdr:to>
      <xdr:col>0</xdr:col>
      <xdr:colOff>531691</xdr:colOff>
      <xdr:row>4</xdr:row>
      <xdr:rowOff>177889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663575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5</xdr:row>
      <xdr:rowOff>103187</xdr:rowOff>
    </xdr:from>
    <xdr:to>
      <xdr:col>0</xdr:col>
      <xdr:colOff>493710</xdr:colOff>
      <xdr:row>6</xdr:row>
      <xdr:rowOff>127423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150937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7</xdr:row>
      <xdr:rowOff>117603</xdr:rowOff>
    </xdr:from>
    <xdr:to>
      <xdr:col>0</xdr:col>
      <xdr:colOff>446087</xdr:colOff>
      <xdr:row>8</xdr:row>
      <xdr:rowOff>168275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584453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18</xdr:row>
      <xdr:rowOff>1587</xdr:rowOff>
    </xdr:from>
    <xdr:to>
      <xdr:col>0</xdr:col>
      <xdr:colOff>458563</xdr:colOff>
      <xdr:row>19</xdr:row>
      <xdr:rowOff>69850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773487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9</xdr:row>
      <xdr:rowOff>122237</xdr:rowOff>
    </xdr:from>
    <xdr:to>
      <xdr:col>0</xdr:col>
      <xdr:colOff>476250</xdr:colOff>
      <xdr:row>10</xdr:row>
      <xdr:rowOff>203200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008187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11</xdr:row>
      <xdr:rowOff>96837</xdr:rowOff>
    </xdr:from>
    <xdr:to>
      <xdr:col>0</xdr:col>
      <xdr:colOff>466725</xdr:colOff>
      <xdr:row>13</xdr:row>
      <xdr:rowOff>6350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401887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19</xdr:row>
      <xdr:rowOff>182562</xdr:rowOff>
    </xdr:from>
    <xdr:to>
      <xdr:col>0</xdr:col>
      <xdr:colOff>460375</xdr:colOff>
      <xdr:row>21</xdr:row>
      <xdr:rowOff>104775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4164012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13</xdr:row>
      <xdr:rowOff>112656</xdr:rowOff>
    </xdr:from>
    <xdr:to>
      <xdr:col>0</xdr:col>
      <xdr:colOff>435031</xdr:colOff>
      <xdr:row>14</xdr:row>
      <xdr:rowOff>200025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36806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15</xdr:row>
      <xdr:rowOff>109537</xdr:rowOff>
    </xdr:from>
    <xdr:to>
      <xdr:col>0</xdr:col>
      <xdr:colOff>501594</xdr:colOff>
      <xdr:row>17</xdr:row>
      <xdr:rowOff>144406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3252787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169069</xdr:colOff>
      <xdr:row>1</xdr:row>
      <xdr:rowOff>95250</xdr:rowOff>
    </xdr:from>
    <xdr:to>
      <xdr:col>0</xdr:col>
      <xdr:colOff>559594</xdr:colOff>
      <xdr:row>2</xdr:row>
      <xdr:rowOff>201612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069" y="304800"/>
          <a:ext cx="390525" cy="3159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3</xdr:row>
      <xdr:rowOff>111125</xdr:rowOff>
    </xdr:from>
    <xdr:to>
      <xdr:col>0</xdr:col>
      <xdr:colOff>512641</xdr:colOff>
      <xdr:row>5</xdr:row>
      <xdr:rowOff>44539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739775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5</xdr:row>
      <xdr:rowOff>179387</xdr:rowOff>
    </xdr:from>
    <xdr:to>
      <xdr:col>0</xdr:col>
      <xdr:colOff>474660</xdr:colOff>
      <xdr:row>6</xdr:row>
      <xdr:rowOff>203623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227137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193803</xdr:rowOff>
    </xdr:from>
    <xdr:to>
      <xdr:col>0</xdr:col>
      <xdr:colOff>427037</xdr:colOff>
      <xdr:row>9</xdr:row>
      <xdr:rowOff>34925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660653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18</xdr:row>
      <xdr:rowOff>77787</xdr:rowOff>
    </xdr:from>
    <xdr:to>
      <xdr:col>0</xdr:col>
      <xdr:colOff>439513</xdr:colOff>
      <xdr:row>19</xdr:row>
      <xdr:rowOff>146050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3849687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9</xdr:row>
      <xdr:rowOff>198437</xdr:rowOff>
    </xdr:from>
    <xdr:to>
      <xdr:col>0</xdr:col>
      <xdr:colOff>457200</xdr:colOff>
      <xdr:row>11</xdr:row>
      <xdr:rowOff>69850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084387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11</xdr:row>
      <xdr:rowOff>173037</xdr:rowOff>
    </xdr:from>
    <xdr:to>
      <xdr:col>0</xdr:col>
      <xdr:colOff>447675</xdr:colOff>
      <xdr:row>13</xdr:row>
      <xdr:rowOff>82550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78087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20</xdr:row>
      <xdr:rowOff>49212</xdr:rowOff>
    </xdr:from>
    <xdr:to>
      <xdr:col>0</xdr:col>
      <xdr:colOff>441325</xdr:colOff>
      <xdr:row>21</xdr:row>
      <xdr:rowOff>180975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4240212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13</xdr:row>
      <xdr:rowOff>188856</xdr:rowOff>
    </xdr:from>
    <xdr:to>
      <xdr:col>0</xdr:col>
      <xdr:colOff>415981</xdr:colOff>
      <xdr:row>15</xdr:row>
      <xdr:rowOff>66675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913006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15</xdr:row>
      <xdr:rowOff>185737</xdr:rowOff>
    </xdr:from>
    <xdr:to>
      <xdr:col>0</xdr:col>
      <xdr:colOff>482544</xdr:colOff>
      <xdr:row>18</xdr:row>
      <xdr:rowOff>11056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328987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159544</xdr:colOff>
      <xdr:row>1</xdr:row>
      <xdr:rowOff>171450</xdr:rowOff>
    </xdr:from>
    <xdr:to>
      <xdr:col>0</xdr:col>
      <xdr:colOff>550069</xdr:colOff>
      <xdr:row>3</xdr:row>
      <xdr:rowOff>68262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544" y="381000"/>
          <a:ext cx="390525" cy="3159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104775</xdr:colOff>
      <xdr:row>0</xdr:row>
      <xdr:rowOff>152400</xdr:rowOff>
    </xdr:from>
    <xdr:to>
      <xdr:col>9</xdr:col>
      <xdr:colOff>438150</xdr:colOff>
      <xdr:row>2</xdr:row>
      <xdr:rowOff>66675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152400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6</xdr:col>
      <xdr:colOff>885825</xdr:colOff>
      <xdr:row>0</xdr:row>
      <xdr:rowOff>200025</xdr:rowOff>
    </xdr:from>
    <xdr:to>
      <xdr:col>7</xdr:col>
      <xdr:colOff>257175</xdr:colOff>
      <xdr:row>2</xdr:row>
      <xdr:rowOff>95250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200025"/>
          <a:ext cx="314325" cy="314325"/>
        </a:xfrm>
        <a:prstGeom prst="rect">
          <a:avLst/>
        </a:prstGeom>
      </xdr:spPr>
    </xdr:pic>
    <xdr:clientData/>
  </xdr:twoCellAnchor>
  <xdr:twoCellAnchor editAs="oneCell">
    <xdr:from>
      <xdr:col>7</xdr:col>
      <xdr:colOff>438150</xdr:colOff>
      <xdr:row>0</xdr:row>
      <xdr:rowOff>142875</xdr:rowOff>
    </xdr:from>
    <xdr:to>
      <xdr:col>7</xdr:col>
      <xdr:colOff>819150</xdr:colOff>
      <xdr:row>2</xdr:row>
      <xdr:rowOff>104775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1428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190500</xdr:colOff>
      <xdr:row>0</xdr:row>
      <xdr:rowOff>152400</xdr:rowOff>
    </xdr:from>
    <xdr:to>
      <xdr:col>8</xdr:col>
      <xdr:colOff>542925</xdr:colOff>
      <xdr:row>2</xdr:row>
      <xdr:rowOff>85725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075" y="152400"/>
          <a:ext cx="352425" cy="352425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4</xdr:row>
      <xdr:rowOff>82550</xdr:rowOff>
    </xdr:from>
    <xdr:to>
      <xdr:col>0</xdr:col>
      <xdr:colOff>607891</xdr:colOff>
      <xdr:row>6</xdr:row>
      <xdr:rowOff>15964</xdr:rowOff>
    </xdr:to>
    <xdr:pic macro="[0]!IrAConfiguracion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920750"/>
          <a:ext cx="341191" cy="352514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6</xdr:row>
      <xdr:rowOff>150812</xdr:rowOff>
    </xdr:from>
    <xdr:to>
      <xdr:col>0</xdr:col>
      <xdr:colOff>569910</xdr:colOff>
      <xdr:row>7</xdr:row>
      <xdr:rowOff>175048</xdr:rowOff>
    </xdr:to>
    <xdr:pic macro="[0]!IrAProductServ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408112"/>
          <a:ext cx="303210" cy="233786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8</xdr:row>
      <xdr:rowOff>165228</xdr:rowOff>
    </xdr:from>
    <xdr:to>
      <xdr:col>0</xdr:col>
      <xdr:colOff>522287</xdr:colOff>
      <xdr:row>10</xdr:row>
      <xdr:rowOff>25400</xdr:rowOff>
    </xdr:to>
    <xdr:pic macro="[0]!IrAClient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841628"/>
          <a:ext cx="255587" cy="260222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19</xdr:row>
      <xdr:rowOff>39687</xdr:rowOff>
    </xdr:from>
    <xdr:to>
      <xdr:col>0</xdr:col>
      <xdr:colOff>534763</xdr:colOff>
      <xdr:row>20</xdr:row>
      <xdr:rowOff>107950</xdr:rowOff>
    </xdr:to>
    <xdr:pic macro="[0]!IrAGastos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4002087"/>
          <a:ext cx="268063" cy="277813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10</xdr:row>
      <xdr:rowOff>160337</xdr:rowOff>
    </xdr:from>
    <xdr:to>
      <xdr:col>0</xdr:col>
      <xdr:colOff>552450</xdr:colOff>
      <xdr:row>12</xdr:row>
      <xdr:rowOff>31750</xdr:rowOff>
    </xdr:to>
    <xdr:pic macro="[0]!IrAIngresos"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236787"/>
          <a:ext cx="285750" cy="290513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12</xdr:row>
      <xdr:rowOff>134937</xdr:rowOff>
    </xdr:from>
    <xdr:to>
      <xdr:col>0</xdr:col>
      <xdr:colOff>542925</xdr:colOff>
      <xdr:row>14</xdr:row>
      <xdr:rowOff>44450</xdr:rowOff>
    </xdr:to>
    <xdr:pic macro="[0]!IrAListaEmitida"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630487"/>
          <a:ext cx="323850" cy="328613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21</xdr:row>
      <xdr:rowOff>11112</xdr:rowOff>
    </xdr:from>
    <xdr:to>
      <xdr:col>0</xdr:col>
      <xdr:colOff>536575</xdr:colOff>
      <xdr:row>22</xdr:row>
      <xdr:rowOff>142875</xdr:rowOff>
    </xdr:to>
    <xdr:pic macro="[0]!IrAListaRecibidas"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392612"/>
          <a:ext cx="336550" cy="341313"/>
        </a:xfrm>
        <a:prstGeom prst="rect">
          <a:avLst/>
        </a:prstGeom>
      </xdr:spPr>
    </xdr:pic>
    <xdr:clientData/>
  </xdr:twoCellAnchor>
  <xdr:twoCellAnchor editAs="absolute">
    <xdr:from>
      <xdr:col>0</xdr:col>
      <xdr:colOff>219075</xdr:colOff>
      <xdr:row>14</xdr:row>
      <xdr:rowOff>150756</xdr:rowOff>
    </xdr:from>
    <xdr:to>
      <xdr:col>0</xdr:col>
      <xdr:colOff>511231</xdr:colOff>
      <xdr:row>16</xdr:row>
      <xdr:rowOff>28575</xdr:rowOff>
    </xdr:to>
    <xdr:pic macro="[0]!IrATiposGastos">
      <xdr:nvPicPr>
        <xdr:cNvPr id="15" name="14 Imagen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3065406"/>
          <a:ext cx="292156" cy="296919"/>
        </a:xfrm>
        <a:prstGeom prst="rect">
          <a:avLst/>
        </a:prstGeom>
      </xdr:spPr>
    </xdr:pic>
    <xdr:clientData/>
  </xdr:twoCellAnchor>
  <xdr:twoCellAnchor editAs="absolute">
    <xdr:from>
      <xdr:col>0</xdr:col>
      <xdr:colOff>133350</xdr:colOff>
      <xdr:row>16</xdr:row>
      <xdr:rowOff>147637</xdr:rowOff>
    </xdr:from>
    <xdr:to>
      <xdr:col>0</xdr:col>
      <xdr:colOff>577794</xdr:colOff>
      <xdr:row>18</xdr:row>
      <xdr:rowOff>182506</xdr:rowOff>
    </xdr:to>
    <xdr:pic macro="[0]!IrAProveedores">
      <xdr:nvPicPr>
        <xdr:cNvPr id="16" name="15 Imagen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3481387"/>
          <a:ext cx="444444" cy="453969"/>
        </a:xfrm>
        <a:prstGeom prst="rect">
          <a:avLst/>
        </a:prstGeom>
      </xdr:spPr>
    </xdr:pic>
    <xdr:clientData/>
  </xdr:twoCellAnchor>
  <xdr:twoCellAnchor editAs="absolute">
    <xdr:from>
      <xdr:col>0</xdr:col>
      <xdr:colOff>245269</xdr:colOff>
      <xdr:row>2</xdr:row>
      <xdr:rowOff>142875</xdr:rowOff>
    </xdr:from>
    <xdr:to>
      <xdr:col>0</xdr:col>
      <xdr:colOff>635794</xdr:colOff>
      <xdr:row>4</xdr:row>
      <xdr:rowOff>39687</xdr:rowOff>
    </xdr:to>
    <xdr:pic macro="[0]!IrAIndice">
      <xdr:nvPicPr>
        <xdr:cNvPr id="17" name="16 Imagen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269" y="561975"/>
          <a:ext cx="390525" cy="315912"/>
        </a:xfrm>
        <a:prstGeom prst="rect">
          <a:avLst/>
        </a:prstGeom>
      </xdr:spPr>
    </xdr:pic>
    <xdr:clientData/>
  </xdr:twoCellAnchor>
  <xdr:twoCellAnchor>
    <xdr:from>
      <xdr:col>7</xdr:col>
      <xdr:colOff>390526</xdr:colOff>
      <xdr:row>3</xdr:row>
      <xdr:rowOff>133350</xdr:rowOff>
    </xdr:from>
    <xdr:to>
      <xdr:col>8</xdr:col>
      <xdr:colOff>95250</xdr:colOff>
      <xdr:row>6</xdr:row>
      <xdr:rowOff>19050</xdr:rowOff>
    </xdr:to>
    <xdr:grpSp>
      <xdr:nvGrpSpPr>
        <xdr:cNvPr id="23" name="22 Grupo"/>
        <xdr:cNvGrpSpPr/>
      </xdr:nvGrpSpPr>
      <xdr:grpSpPr>
        <a:xfrm>
          <a:off x="6791326" y="762000"/>
          <a:ext cx="571499" cy="514350"/>
          <a:chOff x="6610351" y="923925"/>
          <a:chExt cx="571499" cy="514350"/>
        </a:xfrm>
      </xdr:grpSpPr>
      <xdr:sp macro="" textlink="">
        <xdr:nvSpPr>
          <xdr:cNvPr id="21" name="20 Rectángulo redondeado"/>
          <xdr:cNvSpPr/>
        </xdr:nvSpPr>
        <xdr:spPr>
          <a:xfrm>
            <a:off x="6610351" y="923925"/>
            <a:ext cx="571499" cy="514350"/>
          </a:xfrm>
          <a:prstGeom prst="roundRect">
            <a:avLst/>
          </a:prstGeom>
          <a:ln/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2" name="21 Flecha a la derecha con bandas"/>
          <xdr:cNvSpPr/>
        </xdr:nvSpPr>
        <xdr:spPr>
          <a:xfrm rot="16200000">
            <a:off x="6743701" y="1076325"/>
            <a:ext cx="285750" cy="190500"/>
          </a:xfrm>
          <a:prstGeom prst="stripedRightArrow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>
    <xdr:from>
      <xdr:col>6</xdr:col>
      <xdr:colOff>76199</xdr:colOff>
      <xdr:row>4</xdr:row>
      <xdr:rowOff>0</xdr:rowOff>
    </xdr:from>
    <xdr:to>
      <xdr:col>6</xdr:col>
      <xdr:colOff>885824</xdr:colOff>
      <xdr:row>6</xdr:row>
      <xdr:rowOff>180975</xdr:rowOff>
    </xdr:to>
    <xdr:grpSp>
      <xdr:nvGrpSpPr>
        <xdr:cNvPr id="25" name="24 Grupo"/>
        <xdr:cNvGrpSpPr/>
      </xdr:nvGrpSpPr>
      <xdr:grpSpPr>
        <a:xfrm>
          <a:off x="5534024" y="838200"/>
          <a:ext cx="809625" cy="600075"/>
          <a:chOff x="5210174" y="819150"/>
          <a:chExt cx="762001" cy="647700"/>
        </a:xfrm>
      </xdr:grpSpPr>
      <xdr:sp macro="[0]!hacerFactura" textlink="">
        <xdr:nvSpPr>
          <xdr:cNvPr id="18" name="17 Rectángulo redondeado"/>
          <xdr:cNvSpPr/>
        </xdr:nvSpPr>
        <xdr:spPr>
          <a:xfrm>
            <a:off x="5210174" y="819150"/>
            <a:ext cx="762001" cy="647700"/>
          </a:xfrm>
          <a:prstGeom prst="roundRect">
            <a:avLst/>
          </a:prstGeom>
          <a:ln/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[0]!hacerFactura" textlink="">
        <xdr:nvSpPr>
          <xdr:cNvPr id="24" name="23 Rayo"/>
          <xdr:cNvSpPr/>
        </xdr:nvSpPr>
        <xdr:spPr>
          <a:xfrm>
            <a:off x="5391150" y="895350"/>
            <a:ext cx="400050" cy="438150"/>
          </a:xfrm>
          <a:prstGeom prst="lightningBolt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xdr:twoCellAnchor>
    <xdr:from>
      <xdr:col>5</xdr:col>
      <xdr:colOff>266700</xdr:colOff>
      <xdr:row>0</xdr:row>
      <xdr:rowOff>180975</xdr:rowOff>
    </xdr:from>
    <xdr:to>
      <xdr:col>5</xdr:col>
      <xdr:colOff>590550</xdr:colOff>
      <xdr:row>2</xdr:row>
      <xdr:rowOff>123825</xdr:rowOff>
    </xdr:to>
    <xdr:sp macro="[0]!Nuevo_ingreso" textlink="">
      <xdr:nvSpPr>
        <xdr:cNvPr id="26" name="25 Más"/>
        <xdr:cNvSpPr/>
      </xdr:nvSpPr>
      <xdr:spPr>
        <a:xfrm>
          <a:off x="4972050" y="180975"/>
          <a:ext cx="323850" cy="361950"/>
        </a:xfrm>
        <a:prstGeom prst="mathPlus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742950</xdr:colOff>
      <xdr:row>1</xdr:row>
      <xdr:rowOff>47625</xdr:rowOff>
    </xdr:from>
    <xdr:to>
      <xdr:col>6</xdr:col>
      <xdr:colOff>381000</xdr:colOff>
      <xdr:row>2</xdr:row>
      <xdr:rowOff>0</xdr:rowOff>
    </xdr:to>
    <xdr:sp macro="[0]!eliminar" textlink="">
      <xdr:nvSpPr>
        <xdr:cNvPr id="27" name="26 Menos"/>
        <xdr:cNvSpPr/>
      </xdr:nvSpPr>
      <xdr:spPr>
        <a:xfrm>
          <a:off x="5448300" y="257175"/>
          <a:ext cx="390525" cy="161925"/>
        </a:xfrm>
        <a:prstGeom prst="mathMinus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200025</xdr:rowOff>
        </xdr:from>
        <xdr:to>
          <xdr:col>6</xdr:col>
          <xdr:colOff>247650</xdr:colOff>
          <xdr:row>8</xdr:row>
          <xdr:rowOff>19050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4</xdr:row>
      <xdr:rowOff>358775</xdr:rowOff>
    </xdr:from>
    <xdr:to>
      <xdr:col>0</xdr:col>
      <xdr:colOff>550741</xdr:colOff>
      <xdr:row>5</xdr:row>
      <xdr:rowOff>63589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968375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5</xdr:row>
      <xdr:rowOff>198437</xdr:rowOff>
    </xdr:from>
    <xdr:to>
      <xdr:col>0</xdr:col>
      <xdr:colOff>512760</xdr:colOff>
      <xdr:row>6</xdr:row>
      <xdr:rowOff>213148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455737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7</xdr:row>
      <xdr:rowOff>193803</xdr:rowOff>
    </xdr:from>
    <xdr:to>
      <xdr:col>0</xdr:col>
      <xdr:colOff>465137</xdr:colOff>
      <xdr:row>9</xdr:row>
      <xdr:rowOff>15875</xdr:rowOff>
    </xdr:to>
    <xdr:pic macro="[0]!IrAIndice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889253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18</xdr:row>
      <xdr:rowOff>192087</xdr:rowOff>
    </xdr:from>
    <xdr:to>
      <xdr:col>0</xdr:col>
      <xdr:colOff>477613</xdr:colOff>
      <xdr:row>20</xdr:row>
      <xdr:rowOff>31750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4078287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9</xdr:row>
      <xdr:rowOff>179387</xdr:rowOff>
    </xdr:from>
    <xdr:to>
      <xdr:col>0</xdr:col>
      <xdr:colOff>495300</xdr:colOff>
      <xdr:row>11</xdr:row>
      <xdr:rowOff>31750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312987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11</xdr:row>
      <xdr:rowOff>134937</xdr:rowOff>
    </xdr:from>
    <xdr:to>
      <xdr:col>0</xdr:col>
      <xdr:colOff>485775</xdr:colOff>
      <xdr:row>13</xdr:row>
      <xdr:rowOff>25400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706687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20</xdr:row>
      <xdr:rowOff>144462</xdr:rowOff>
    </xdr:from>
    <xdr:to>
      <xdr:col>0</xdr:col>
      <xdr:colOff>479425</xdr:colOff>
      <xdr:row>22</xdr:row>
      <xdr:rowOff>47625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4468812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13</xdr:row>
      <xdr:rowOff>131706</xdr:rowOff>
    </xdr:from>
    <xdr:to>
      <xdr:col>0</xdr:col>
      <xdr:colOff>454081</xdr:colOff>
      <xdr:row>15</xdr:row>
      <xdr:rowOff>209550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3141606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16</xdr:row>
      <xdr:rowOff>109537</xdr:rowOff>
    </xdr:from>
    <xdr:to>
      <xdr:col>0</xdr:col>
      <xdr:colOff>520644</xdr:colOff>
      <xdr:row>18</xdr:row>
      <xdr:rowOff>125356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557587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226219</xdr:colOff>
      <xdr:row>3</xdr:row>
      <xdr:rowOff>0</xdr:rowOff>
    </xdr:from>
    <xdr:to>
      <xdr:col>0</xdr:col>
      <xdr:colOff>616744</xdr:colOff>
      <xdr:row>4</xdr:row>
      <xdr:rowOff>315912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219" y="609600"/>
          <a:ext cx="390525" cy="315912"/>
        </a:xfrm>
        <a:prstGeom prst="rect">
          <a:avLst/>
        </a:prstGeom>
      </xdr:spPr>
    </xdr:pic>
    <xdr:clientData/>
  </xdr:twoCellAnchor>
  <xdr:twoCellAnchor>
    <xdr:from>
      <xdr:col>4</xdr:col>
      <xdr:colOff>400050</xdr:colOff>
      <xdr:row>0</xdr:row>
      <xdr:rowOff>76200</xdr:rowOff>
    </xdr:from>
    <xdr:to>
      <xdr:col>4</xdr:col>
      <xdr:colOff>847725</xdr:colOff>
      <xdr:row>2</xdr:row>
      <xdr:rowOff>133350</xdr:rowOff>
    </xdr:to>
    <xdr:sp macro="" textlink="">
      <xdr:nvSpPr>
        <xdr:cNvPr id="13" name="12 Esquina doblada"/>
        <xdr:cNvSpPr/>
      </xdr:nvSpPr>
      <xdr:spPr>
        <a:xfrm>
          <a:off x="4953000" y="76200"/>
          <a:ext cx="447675" cy="495300"/>
        </a:xfrm>
        <a:prstGeom prst="foldedCorne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latin typeface="Arial" pitchFamily="34" charset="0"/>
              <a:cs typeface="Arial" pitchFamily="34" charset="0"/>
            </a:rPr>
            <a:t>ImP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4</xdr:row>
      <xdr:rowOff>158750</xdr:rowOff>
    </xdr:from>
    <xdr:to>
      <xdr:col>0</xdr:col>
      <xdr:colOff>579316</xdr:colOff>
      <xdr:row>6</xdr:row>
      <xdr:rowOff>92164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996950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7</xdr:row>
      <xdr:rowOff>17462</xdr:rowOff>
    </xdr:from>
    <xdr:to>
      <xdr:col>0</xdr:col>
      <xdr:colOff>541335</xdr:colOff>
      <xdr:row>8</xdr:row>
      <xdr:rowOff>41698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484312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9</xdr:row>
      <xdr:rowOff>31878</xdr:rowOff>
    </xdr:from>
    <xdr:to>
      <xdr:col>0</xdr:col>
      <xdr:colOff>493712</xdr:colOff>
      <xdr:row>10</xdr:row>
      <xdr:rowOff>82550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917828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19</xdr:row>
      <xdr:rowOff>125412</xdr:rowOff>
    </xdr:from>
    <xdr:to>
      <xdr:col>0</xdr:col>
      <xdr:colOff>506188</xdr:colOff>
      <xdr:row>20</xdr:row>
      <xdr:rowOff>193675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4106862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11</xdr:row>
      <xdr:rowOff>36512</xdr:rowOff>
    </xdr:from>
    <xdr:to>
      <xdr:col>0</xdr:col>
      <xdr:colOff>523875</xdr:colOff>
      <xdr:row>12</xdr:row>
      <xdr:rowOff>117475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2341562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13</xdr:row>
      <xdr:rowOff>11112</xdr:rowOff>
    </xdr:from>
    <xdr:to>
      <xdr:col>0</xdr:col>
      <xdr:colOff>514350</xdr:colOff>
      <xdr:row>14</xdr:row>
      <xdr:rowOff>130175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735262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21</xdr:row>
      <xdr:rowOff>96837</xdr:rowOff>
    </xdr:from>
    <xdr:to>
      <xdr:col>0</xdr:col>
      <xdr:colOff>508000</xdr:colOff>
      <xdr:row>23</xdr:row>
      <xdr:rowOff>19050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4497387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15</xdr:row>
      <xdr:rowOff>26931</xdr:rowOff>
    </xdr:from>
    <xdr:to>
      <xdr:col>0</xdr:col>
      <xdr:colOff>482656</xdr:colOff>
      <xdr:row>16</xdr:row>
      <xdr:rowOff>114300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170181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17</xdr:row>
      <xdr:rowOff>23812</xdr:rowOff>
    </xdr:from>
    <xdr:to>
      <xdr:col>0</xdr:col>
      <xdr:colOff>549219</xdr:colOff>
      <xdr:row>19</xdr:row>
      <xdr:rowOff>58681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586162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254794</xdr:colOff>
      <xdr:row>3</xdr:row>
      <xdr:rowOff>9525</xdr:rowOff>
    </xdr:from>
    <xdr:to>
      <xdr:col>0</xdr:col>
      <xdr:colOff>645319</xdr:colOff>
      <xdr:row>4</xdr:row>
      <xdr:rowOff>115887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794" y="638175"/>
          <a:ext cx="390525" cy="315912"/>
        </a:xfrm>
        <a:prstGeom prst="rect">
          <a:avLst/>
        </a:prstGeom>
      </xdr:spPr>
    </xdr:pic>
    <xdr:clientData/>
  </xdr:twoCellAnchor>
  <xdr:twoCellAnchor editAs="oneCell">
    <xdr:from>
      <xdr:col>6</xdr:col>
      <xdr:colOff>771525</xdr:colOff>
      <xdr:row>0</xdr:row>
      <xdr:rowOff>93662</xdr:rowOff>
    </xdr:from>
    <xdr:to>
      <xdr:col>6</xdr:col>
      <xdr:colOff>1182688</xdr:colOff>
      <xdr:row>2</xdr:row>
      <xdr:rowOff>85725</xdr:rowOff>
    </xdr:to>
    <xdr:pic>
      <xdr:nvPicPr>
        <xdr:cNvPr id="12" name="11 Imagen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0" y="93662"/>
          <a:ext cx="411163" cy="411163"/>
        </a:xfrm>
        <a:prstGeom prst="rect">
          <a:avLst/>
        </a:prstGeom>
      </xdr:spPr>
    </xdr:pic>
    <xdr:clientData/>
  </xdr:twoCellAnchor>
  <xdr:twoCellAnchor editAs="oneCell">
    <xdr:from>
      <xdr:col>7</xdr:col>
      <xdr:colOff>323850</xdr:colOff>
      <xdr:row>0</xdr:row>
      <xdr:rowOff>104775</xdr:rowOff>
    </xdr:from>
    <xdr:to>
      <xdr:col>7</xdr:col>
      <xdr:colOff>704850</xdr:colOff>
      <xdr:row>2</xdr:row>
      <xdr:rowOff>66675</xdr:rowOff>
    </xdr:to>
    <xdr:pic>
      <xdr:nvPicPr>
        <xdr:cNvPr id="13" name="12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1047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57150</xdr:colOff>
      <xdr:row>0</xdr:row>
      <xdr:rowOff>85725</xdr:rowOff>
    </xdr:from>
    <xdr:to>
      <xdr:col>6</xdr:col>
      <xdr:colOff>501594</xdr:colOff>
      <xdr:row>2</xdr:row>
      <xdr:rowOff>111069</xdr:rowOff>
    </xdr:to>
    <xdr:pic>
      <xdr:nvPicPr>
        <xdr:cNvPr id="14" name="13 Imagen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975" y="85725"/>
          <a:ext cx="444444" cy="44444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4</xdr:row>
      <xdr:rowOff>15875</xdr:rowOff>
    </xdr:from>
    <xdr:to>
      <xdr:col>0</xdr:col>
      <xdr:colOff>579316</xdr:colOff>
      <xdr:row>5</xdr:row>
      <xdr:rowOff>158839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854075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6</xdr:row>
      <xdr:rowOff>84137</xdr:rowOff>
    </xdr:from>
    <xdr:to>
      <xdr:col>0</xdr:col>
      <xdr:colOff>541335</xdr:colOff>
      <xdr:row>7</xdr:row>
      <xdr:rowOff>108373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341437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8</xdr:row>
      <xdr:rowOff>98553</xdr:rowOff>
    </xdr:from>
    <xdr:to>
      <xdr:col>0</xdr:col>
      <xdr:colOff>493712</xdr:colOff>
      <xdr:row>9</xdr:row>
      <xdr:rowOff>149225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1774953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18</xdr:row>
      <xdr:rowOff>192087</xdr:rowOff>
    </xdr:from>
    <xdr:to>
      <xdr:col>0</xdr:col>
      <xdr:colOff>506188</xdr:colOff>
      <xdr:row>20</xdr:row>
      <xdr:rowOff>50800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963987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238125</xdr:colOff>
      <xdr:row>10</xdr:row>
      <xdr:rowOff>103187</xdr:rowOff>
    </xdr:from>
    <xdr:to>
      <xdr:col>0</xdr:col>
      <xdr:colOff>523875</xdr:colOff>
      <xdr:row>11</xdr:row>
      <xdr:rowOff>184150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2198687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12</xdr:row>
      <xdr:rowOff>77787</xdr:rowOff>
    </xdr:from>
    <xdr:to>
      <xdr:col>0</xdr:col>
      <xdr:colOff>514350</xdr:colOff>
      <xdr:row>13</xdr:row>
      <xdr:rowOff>196850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92387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20</xdr:row>
      <xdr:rowOff>163512</xdr:rowOff>
    </xdr:from>
    <xdr:to>
      <xdr:col>0</xdr:col>
      <xdr:colOff>508000</xdr:colOff>
      <xdr:row>22</xdr:row>
      <xdr:rowOff>85725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4354512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14</xdr:row>
      <xdr:rowOff>93606</xdr:rowOff>
    </xdr:from>
    <xdr:to>
      <xdr:col>0</xdr:col>
      <xdr:colOff>482656</xdr:colOff>
      <xdr:row>15</xdr:row>
      <xdr:rowOff>180975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027306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16</xdr:row>
      <xdr:rowOff>90487</xdr:rowOff>
    </xdr:from>
    <xdr:to>
      <xdr:col>0</xdr:col>
      <xdr:colOff>549219</xdr:colOff>
      <xdr:row>18</xdr:row>
      <xdr:rowOff>125356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443287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254794</xdr:colOff>
      <xdr:row>2</xdr:row>
      <xdr:rowOff>76200</xdr:rowOff>
    </xdr:from>
    <xdr:to>
      <xdr:col>0</xdr:col>
      <xdr:colOff>645319</xdr:colOff>
      <xdr:row>3</xdr:row>
      <xdr:rowOff>182562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794" y="495300"/>
          <a:ext cx="390525" cy="31591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4</xdr:row>
      <xdr:rowOff>15875</xdr:rowOff>
    </xdr:from>
    <xdr:to>
      <xdr:col>0</xdr:col>
      <xdr:colOff>550741</xdr:colOff>
      <xdr:row>5</xdr:row>
      <xdr:rowOff>158839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854075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6</xdr:row>
      <xdr:rowOff>84137</xdr:rowOff>
    </xdr:from>
    <xdr:to>
      <xdr:col>0</xdr:col>
      <xdr:colOff>512760</xdr:colOff>
      <xdr:row>7</xdr:row>
      <xdr:rowOff>108373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341437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8</xdr:row>
      <xdr:rowOff>98553</xdr:rowOff>
    </xdr:from>
    <xdr:to>
      <xdr:col>0</xdr:col>
      <xdr:colOff>465137</xdr:colOff>
      <xdr:row>9</xdr:row>
      <xdr:rowOff>149225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1774953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18</xdr:row>
      <xdr:rowOff>192087</xdr:rowOff>
    </xdr:from>
    <xdr:to>
      <xdr:col>0</xdr:col>
      <xdr:colOff>477613</xdr:colOff>
      <xdr:row>20</xdr:row>
      <xdr:rowOff>50800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3963987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10</xdr:row>
      <xdr:rowOff>103187</xdr:rowOff>
    </xdr:from>
    <xdr:to>
      <xdr:col>0</xdr:col>
      <xdr:colOff>495300</xdr:colOff>
      <xdr:row>11</xdr:row>
      <xdr:rowOff>184150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198687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12</xdr:row>
      <xdr:rowOff>77787</xdr:rowOff>
    </xdr:from>
    <xdr:to>
      <xdr:col>0</xdr:col>
      <xdr:colOff>485775</xdr:colOff>
      <xdr:row>13</xdr:row>
      <xdr:rowOff>196850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2592387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20</xdr:row>
      <xdr:rowOff>163512</xdr:rowOff>
    </xdr:from>
    <xdr:to>
      <xdr:col>0</xdr:col>
      <xdr:colOff>479425</xdr:colOff>
      <xdr:row>22</xdr:row>
      <xdr:rowOff>85725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4354512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14</xdr:row>
      <xdr:rowOff>93606</xdr:rowOff>
    </xdr:from>
    <xdr:to>
      <xdr:col>0</xdr:col>
      <xdr:colOff>454081</xdr:colOff>
      <xdr:row>15</xdr:row>
      <xdr:rowOff>180975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3027306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16</xdr:row>
      <xdr:rowOff>90487</xdr:rowOff>
    </xdr:from>
    <xdr:to>
      <xdr:col>0</xdr:col>
      <xdr:colOff>520644</xdr:colOff>
      <xdr:row>18</xdr:row>
      <xdr:rowOff>125356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443287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226219</xdr:colOff>
      <xdr:row>2</xdr:row>
      <xdr:rowOff>76200</xdr:rowOff>
    </xdr:from>
    <xdr:to>
      <xdr:col>0</xdr:col>
      <xdr:colOff>616744</xdr:colOff>
      <xdr:row>3</xdr:row>
      <xdr:rowOff>182562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219" y="495300"/>
          <a:ext cx="390525" cy="31591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3</xdr:row>
      <xdr:rowOff>120650</xdr:rowOff>
    </xdr:from>
    <xdr:to>
      <xdr:col>0</xdr:col>
      <xdr:colOff>560266</xdr:colOff>
      <xdr:row>5</xdr:row>
      <xdr:rowOff>54064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749300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5</xdr:row>
      <xdr:rowOff>188912</xdr:rowOff>
    </xdr:from>
    <xdr:to>
      <xdr:col>0</xdr:col>
      <xdr:colOff>522285</xdr:colOff>
      <xdr:row>7</xdr:row>
      <xdr:rowOff>3598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236662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7</xdr:row>
      <xdr:rowOff>203328</xdr:rowOff>
    </xdr:from>
    <xdr:to>
      <xdr:col>0</xdr:col>
      <xdr:colOff>474662</xdr:colOff>
      <xdr:row>9</xdr:row>
      <xdr:rowOff>44450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670178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18</xdr:row>
      <xdr:rowOff>87312</xdr:rowOff>
    </xdr:from>
    <xdr:to>
      <xdr:col>0</xdr:col>
      <xdr:colOff>487138</xdr:colOff>
      <xdr:row>19</xdr:row>
      <xdr:rowOff>155575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3859212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9</xdr:row>
      <xdr:rowOff>207962</xdr:rowOff>
    </xdr:from>
    <xdr:to>
      <xdr:col>0</xdr:col>
      <xdr:colOff>504825</xdr:colOff>
      <xdr:row>11</xdr:row>
      <xdr:rowOff>79375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2093912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11</xdr:row>
      <xdr:rowOff>182562</xdr:rowOff>
    </xdr:from>
    <xdr:to>
      <xdr:col>0</xdr:col>
      <xdr:colOff>495300</xdr:colOff>
      <xdr:row>13</xdr:row>
      <xdr:rowOff>92075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487612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20</xdr:row>
      <xdr:rowOff>58737</xdr:rowOff>
    </xdr:from>
    <xdr:to>
      <xdr:col>0</xdr:col>
      <xdr:colOff>488950</xdr:colOff>
      <xdr:row>21</xdr:row>
      <xdr:rowOff>190500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4249737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13</xdr:row>
      <xdr:rowOff>198381</xdr:rowOff>
    </xdr:from>
    <xdr:to>
      <xdr:col>0</xdr:col>
      <xdr:colOff>463606</xdr:colOff>
      <xdr:row>15</xdr:row>
      <xdr:rowOff>76200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2922531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15</xdr:row>
      <xdr:rowOff>195262</xdr:rowOff>
    </xdr:from>
    <xdr:to>
      <xdr:col>0</xdr:col>
      <xdr:colOff>530169</xdr:colOff>
      <xdr:row>18</xdr:row>
      <xdr:rowOff>20581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338512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235744</xdr:colOff>
      <xdr:row>1</xdr:row>
      <xdr:rowOff>180975</xdr:rowOff>
    </xdr:from>
    <xdr:to>
      <xdr:col>0</xdr:col>
      <xdr:colOff>626269</xdr:colOff>
      <xdr:row>3</xdr:row>
      <xdr:rowOff>77787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44" y="390525"/>
          <a:ext cx="390525" cy="315912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0</xdr:row>
      <xdr:rowOff>161925</xdr:rowOff>
    </xdr:from>
    <xdr:to>
      <xdr:col>6</xdr:col>
      <xdr:colOff>323850</xdr:colOff>
      <xdr:row>2</xdr:row>
      <xdr:rowOff>104775</xdr:rowOff>
    </xdr:to>
    <xdr:sp macro="" textlink="">
      <xdr:nvSpPr>
        <xdr:cNvPr id="15" name="14 Más"/>
        <xdr:cNvSpPr/>
      </xdr:nvSpPr>
      <xdr:spPr>
        <a:xfrm>
          <a:off x="4476750" y="161925"/>
          <a:ext cx="323850" cy="361950"/>
        </a:xfrm>
        <a:prstGeom prst="mathPlus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1104900</xdr:colOff>
      <xdr:row>1</xdr:row>
      <xdr:rowOff>28575</xdr:rowOff>
    </xdr:from>
    <xdr:to>
      <xdr:col>6</xdr:col>
      <xdr:colOff>1495425</xdr:colOff>
      <xdr:row>1</xdr:row>
      <xdr:rowOff>190500</xdr:rowOff>
    </xdr:to>
    <xdr:sp macro="" textlink="">
      <xdr:nvSpPr>
        <xdr:cNvPr id="16" name="15 Menos"/>
        <xdr:cNvSpPr/>
      </xdr:nvSpPr>
      <xdr:spPr>
        <a:xfrm>
          <a:off x="5581650" y="238125"/>
          <a:ext cx="390525" cy="161925"/>
        </a:xfrm>
        <a:prstGeom prst="mathMinus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4</xdr:row>
      <xdr:rowOff>44450</xdr:rowOff>
    </xdr:from>
    <xdr:to>
      <xdr:col>0</xdr:col>
      <xdr:colOff>569791</xdr:colOff>
      <xdr:row>5</xdr:row>
      <xdr:rowOff>187414</xdr:rowOff>
    </xdr:to>
    <xdr:pic macro="[0]!IrAConfiguracion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882650"/>
          <a:ext cx="341191" cy="35251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6</xdr:row>
      <xdr:rowOff>112712</xdr:rowOff>
    </xdr:from>
    <xdr:to>
      <xdr:col>0</xdr:col>
      <xdr:colOff>531810</xdr:colOff>
      <xdr:row>7</xdr:row>
      <xdr:rowOff>136948</xdr:rowOff>
    </xdr:to>
    <xdr:pic macro="[0]!IrAProductServ"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370012"/>
          <a:ext cx="303210" cy="23378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8</xdr:row>
      <xdr:rowOff>127128</xdr:rowOff>
    </xdr:from>
    <xdr:to>
      <xdr:col>0</xdr:col>
      <xdr:colOff>484187</xdr:colOff>
      <xdr:row>9</xdr:row>
      <xdr:rowOff>177800</xdr:rowOff>
    </xdr:to>
    <xdr:pic macro="[0]!IrACliente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803528"/>
          <a:ext cx="255587" cy="26022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18</xdr:row>
      <xdr:rowOff>173037</xdr:rowOff>
    </xdr:from>
    <xdr:to>
      <xdr:col>0</xdr:col>
      <xdr:colOff>496663</xdr:colOff>
      <xdr:row>20</xdr:row>
      <xdr:rowOff>31750</xdr:rowOff>
    </xdr:to>
    <xdr:pic macro="[0]!IrAGastos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992562"/>
          <a:ext cx="268063" cy="277813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10</xdr:row>
      <xdr:rowOff>131762</xdr:rowOff>
    </xdr:from>
    <xdr:to>
      <xdr:col>0</xdr:col>
      <xdr:colOff>514350</xdr:colOff>
      <xdr:row>12</xdr:row>
      <xdr:rowOff>3175</xdr:rowOff>
    </xdr:to>
    <xdr:pic macro="[0]!IrAIngreso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227262"/>
          <a:ext cx="285750" cy="290513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12</xdr:row>
      <xdr:rowOff>106362</xdr:rowOff>
    </xdr:from>
    <xdr:to>
      <xdr:col>0</xdr:col>
      <xdr:colOff>504825</xdr:colOff>
      <xdr:row>14</xdr:row>
      <xdr:rowOff>15875</xdr:rowOff>
    </xdr:to>
    <xdr:pic macro="[0]!IrAListaEmitida"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620962"/>
          <a:ext cx="323850" cy="32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20</xdr:row>
      <xdr:rowOff>144462</xdr:rowOff>
    </xdr:from>
    <xdr:to>
      <xdr:col>0</xdr:col>
      <xdr:colOff>498475</xdr:colOff>
      <xdr:row>22</xdr:row>
      <xdr:rowOff>66675</xdr:rowOff>
    </xdr:to>
    <xdr:pic macro="[0]!IrAListaRecibidas"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4383087"/>
          <a:ext cx="336550" cy="341313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14</xdr:row>
      <xdr:rowOff>122181</xdr:rowOff>
    </xdr:from>
    <xdr:to>
      <xdr:col>0</xdr:col>
      <xdr:colOff>473131</xdr:colOff>
      <xdr:row>16</xdr:row>
      <xdr:rowOff>0</xdr:rowOff>
    </xdr:to>
    <xdr:pic macro="[0]!IrATiposGastos"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3055881"/>
          <a:ext cx="292156" cy="296919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16</xdr:row>
      <xdr:rowOff>119062</xdr:rowOff>
    </xdr:from>
    <xdr:to>
      <xdr:col>0</xdr:col>
      <xdr:colOff>539694</xdr:colOff>
      <xdr:row>18</xdr:row>
      <xdr:rowOff>106306</xdr:rowOff>
    </xdr:to>
    <xdr:pic macro="[0]!IrAProveedores"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471862"/>
          <a:ext cx="444444" cy="453969"/>
        </a:xfrm>
        <a:prstGeom prst="rect">
          <a:avLst/>
        </a:prstGeom>
      </xdr:spPr>
    </xdr:pic>
    <xdr:clientData/>
  </xdr:twoCellAnchor>
  <xdr:twoCellAnchor editAs="oneCell">
    <xdr:from>
      <xdr:col>0</xdr:col>
      <xdr:colOff>226219</xdr:colOff>
      <xdr:row>2</xdr:row>
      <xdr:rowOff>104775</xdr:rowOff>
    </xdr:from>
    <xdr:to>
      <xdr:col>0</xdr:col>
      <xdr:colOff>616744</xdr:colOff>
      <xdr:row>4</xdr:row>
      <xdr:rowOff>1587</xdr:rowOff>
    </xdr:to>
    <xdr:pic macro="[0]!IrAIndice">
      <xdr:nvPicPr>
        <xdr:cNvPr id="11" name="10 Imagen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219" y="523875"/>
          <a:ext cx="390525" cy="315912"/>
        </a:xfrm>
        <a:prstGeom prst="rect">
          <a:avLst/>
        </a:prstGeom>
      </xdr:spPr>
    </xdr:pic>
    <xdr:clientData/>
  </xdr:twoCellAnchor>
  <xdr:twoCellAnchor>
    <xdr:from>
      <xdr:col>7</xdr:col>
      <xdr:colOff>1066800</xdr:colOff>
      <xdr:row>0</xdr:row>
      <xdr:rowOff>95250</xdr:rowOff>
    </xdr:from>
    <xdr:to>
      <xdr:col>7</xdr:col>
      <xdr:colOff>1514475</xdr:colOff>
      <xdr:row>2</xdr:row>
      <xdr:rowOff>171450</xdr:rowOff>
    </xdr:to>
    <xdr:sp macro="" textlink="">
      <xdr:nvSpPr>
        <xdr:cNvPr id="13" name="12 Esquina doblada"/>
        <xdr:cNvSpPr/>
      </xdr:nvSpPr>
      <xdr:spPr>
        <a:xfrm>
          <a:off x="6410325" y="95250"/>
          <a:ext cx="447675" cy="495300"/>
        </a:xfrm>
        <a:prstGeom prst="foldedCorne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000" b="1">
              <a:latin typeface="Arial" pitchFamily="34" charset="0"/>
              <a:cs typeface="Arial" pitchFamily="34" charset="0"/>
            </a:rPr>
            <a:t>ImP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3892.75374537037" createdVersion="4" refreshedVersion="4" minRefreshableVersion="3" recordCount="11">
  <cacheSource type="worksheet">
    <worksheetSource name="TablaRegistro_Gastos"/>
  </cacheSource>
  <cacheFields count="14">
    <cacheField name="Fecha reg" numFmtId="0">
      <sharedItems containsDate="1" containsMixedTypes="1" minDate="2019-02-04T00:00:00" maxDate="2019-12-05T00:00:00" count="9">
        <d v="2019-02-04T00:00:00"/>
        <d v="2019-07-04T00:00:00"/>
        <d v="2019-12-04T00:00:00"/>
        <s v="04/15/2019"/>
        <s v="0420/2019"/>
        <d v="2019-10-05T00:00:00"/>
        <d v="2019-11-05T00:00:00"/>
        <s v="05/20/2019"/>
        <d v="2019-05-06T00:00:00"/>
      </sharedItems>
    </cacheField>
    <cacheField name="N° Orden" numFmtId="0">
      <sharedItems containsSemiMixedTypes="0" containsString="0" containsNumber="1" containsInteger="1" minValue="1" maxValue="11" count="11">
        <n v="1"/>
        <n v="2"/>
        <n v="3"/>
        <n v="4"/>
        <n v="5"/>
        <n v="6"/>
        <n v="7"/>
        <n v="8"/>
        <n v="9"/>
        <n v="10"/>
        <n v="11"/>
      </sharedItems>
    </cacheField>
    <cacheField name="Fecha Prove" numFmtId="14">
      <sharedItems containsDate="1" containsMixedTypes="1" minDate="2019-02-04T00:00:00" maxDate="2019-12-09T00:00:00" count="11">
        <d v="2019-02-04T00:00:00"/>
        <d v="2019-12-05T00:00:00"/>
        <s v="06/22/2019"/>
        <d v="2019-08-07T00:00:00"/>
        <d v="2019-12-08T00:00:00"/>
        <d v="2019-09-09T00:00:00"/>
        <d v="2019-11-10T00:00:00"/>
        <s v="10/25/2019"/>
        <s v="10/30/2019"/>
        <d v="2019-02-11T00:00:00"/>
        <s v="12/22/2019"/>
      </sharedItems>
    </cacheField>
    <cacheField name="N° Fra Proveedor" numFmtId="0">
      <sharedItems count="11">
        <s v="FRA3025"/>
        <s v="FRA3026"/>
        <s v="FRA3027"/>
        <s v="FRA3028"/>
        <s v="FRA3029"/>
        <s v="FRA3030"/>
        <s v="FRA3031"/>
        <s v="FRA3032"/>
        <s v="FRA3033"/>
        <s v="FRA3034"/>
        <s v="FRA3035"/>
      </sharedItems>
    </cacheField>
    <cacheField name="Proveedor" numFmtId="0">
      <sharedItems count="10">
        <s v="Proveedor 1"/>
        <s v="Proveedor 2"/>
        <s v="Proveedor 3"/>
        <s v="Proveedor 4"/>
        <s v="Proveedor 5"/>
        <s v="Proveedor 6"/>
        <s v="Proveedor 7"/>
        <s v="Proveedor 8"/>
        <s v="Proveedor 9"/>
        <s v="Proveedor 10"/>
      </sharedItems>
    </cacheField>
    <cacheField name="Tipo de Gasto" numFmtId="0">
      <sharedItems count="11">
        <s v="Reparacioes locativas"/>
        <s v="Trasporte"/>
        <s v="Primas de seguros"/>
        <s v="Aprovisionamientos"/>
        <s v="Arriendos"/>
        <s v="Servicios Bancarios"/>
        <s v="Publicidad en medios digitales"/>
        <s v="Luz"/>
        <s v="Agua"/>
        <s v="Gas"/>
        <s v="Telefono e internet"/>
      </sharedItems>
    </cacheField>
    <cacheField name="Importe/Base" numFmtId="44">
      <sharedItems containsSemiMixedTypes="0" containsString="0" containsNumber="1" containsInteger="1" minValue="5000" maxValue="1000000"/>
    </cacheField>
    <cacheField name="IVA" numFmtId="44">
      <sharedItems containsSemiMixedTypes="0" containsString="0" containsNumber="1" containsInteger="1" minValue="0" maxValue="190000"/>
    </cacheField>
    <cacheField name="IRPF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containsInteger="1" minValue="5000" maxValue="1190000"/>
    </cacheField>
    <cacheField name="VenciMt T1" numFmtId="165">
      <sharedItems containsSemiMixedTypes="0" containsString="0" containsNumber="1" containsInteger="1" minValue="15" maxValue="30"/>
    </cacheField>
    <cacheField name="VenciMt T2" numFmtId="165">
      <sharedItems containsSemiMixedTypes="0" containsString="0" containsNumber="1" containsInteger="1" minValue="30" maxValue="60"/>
    </cacheField>
    <cacheField name="VenciMt T3" numFmtId="165">
      <sharedItems containsSemiMixedTypes="0" containsString="0" containsNumber="1" containsInteger="1" minValue="60" maxValue="90"/>
    </cacheField>
    <cacheField name="Estado de la Factur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3893.774626273145" createdVersion="4" refreshedVersion="4" minRefreshableVersion="3" recordCount="16">
  <cacheSource type="worksheet">
    <worksheetSource name="Tabla_lIngresos"/>
  </cacheSource>
  <cacheFields count="20">
    <cacheField name="Fecha ingre" numFmtId="14">
      <sharedItems containsDate="1" containsMixedTypes="1" minDate="2019-02-05T00:00:00" maxDate="2019-02-10T00:00:00"/>
    </cacheField>
    <cacheField name="Cliente" numFmtId="0">
      <sharedItems count="18">
        <s v="Pedro Alberto del Rio"/>
        <s v="Maxiuente"/>
        <s v="La Casa de La Valvula"/>
        <s v="Jose Roberto Ramirez"/>
        <s v="Francisco Jose Caldas"/>
        <s v="La casa de la Luz"/>
        <s v="Alberto Jose Triana"/>
        <s v="Empresa el Dorado"/>
        <s v="Jose Herrera Martinez"/>
        <s v="Distribuciones Ramirez"/>
        <s v="Cliente7" u="1"/>
        <s v="Cliente1" u="1"/>
        <s v="Cliente6" u="1"/>
        <s v="Cliente10" u="1"/>
        <s v="Cliente4" u="1"/>
        <s v="Cliente9" u="1"/>
        <s v="Cliente3" u="1"/>
        <s v="Cliente8" u="1"/>
      </sharedItems>
    </cacheField>
    <cacheField name="Producto" numFmtId="0">
      <sharedItems count="18">
        <s v="Colbon Industrial"/>
        <s v="Caretas Industriales"/>
        <s v="Broca Hierro 1/2"/>
        <s v="Tubo PVC pesado Agua 1/2"/>
        <s v="Ladrillo H12"/>
        <s v="Tuerca 12 MM"/>
        <s v="Tornillo drywall 0,2*1/2"/>
        <s v="Tornillo  Carriaje 5&quot;/3/4"/>
        <s v="Tornillos Cabeza Rec"/>
        <s v="Codo Sanitario pesado 3&quot;"/>
        <s v="Producto10" u="1"/>
        <s v="Producto3" u="1"/>
        <s v="Producto6" u="1"/>
        <s v="Producto2" u="1"/>
        <s v="Producto5" u="1"/>
        <s v="Producto1" u="1"/>
        <s v="Producto4" u="1"/>
        <s v="Producto7" u="1"/>
      </sharedItems>
    </cacheField>
    <cacheField name="Cantidad" numFmtId="3">
      <sharedItems containsSemiMixedTypes="0" containsString="0" containsNumber="1" containsInteger="1" minValue="1" maxValue="3698"/>
    </cacheField>
    <cacheField name="Precio /UD" numFmtId="164">
      <sharedItems containsSemiMixedTypes="0" containsString="0" containsNumber="1" containsInteger="1" minValue="7" maxValue="25000"/>
    </cacheField>
    <cacheField name="%DC" numFmtId="166">
      <sharedItems containsSemiMixedTypes="0" containsString="0" containsNumber="1" minValue="0" maxValue="1.4999999999999999E-2"/>
    </cacheField>
    <cacheField name="Dto" numFmtId="44">
      <sharedItems containsSemiMixedTypes="0" containsString="0" containsNumber="1" minValue="0" maxValue="144"/>
    </cacheField>
    <cacheField name="Importe Ud" numFmtId="44">
      <sharedItems containsSemiMixedTypes="0" containsString="0" containsNumber="1" minValue="6.9370000000000003" maxValue="25000"/>
    </cacheField>
    <cacheField name="TOTAL" numFmtId="44">
      <sharedItems containsSemiMixedTypes="0" containsString="0" containsNumber="1" minValue="1484.518" maxValue="3311559"/>
    </cacheField>
    <cacheField name="N° Fac" numFmtId="1">
      <sharedItems containsSemiMixedTypes="0" containsString="0" containsNumber="1" minValue="1" maxValue="31.9" count="16">
        <n v="1"/>
        <n v="2"/>
        <n v="3"/>
        <n v="9"/>
        <n v="8"/>
        <n v="10.9"/>
        <n v="13"/>
        <n v="15.1"/>
        <n v="17.2"/>
        <n v="19.3"/>
        <n v="21.4"/>
        <n v="23.5"/>
        <n v="25.6"/>
        <n v="27.7"/>
        <n v="29.8"/>
        <n v="31.9"/>
      </sharedItems>
    </cacheField>
    <cacheField name="Fecha Fact" numFmtId="14">
      <sharedItems containsSemiMixedTypes="0" containsNonDate="0" containsDate="1" containsString="0" minDate="2019-07-01T00:00:00" maxDate="2019-08-13T00:00:00" count="3">
        <d v="2019-07-01T00:00:00"/>
        <d v="2019-07-15T00:00:00"/>
        <d v="2019-08-12T00:00:00"/>
      </sharedItems>
    </cacheField>
    <cacheField name="VenciMto" numFmtId="165">
      <sharedItems containsSemiMixedTypes="0" containsString="0" containsNumber="1" containsInteger="1" minValue="15" maxValue="90"/>
    </cacheField>
    <cacheField name="Fecha Venci" numFmtId="14">
      <sharedItems containsSemiMixedTypes="0" containsNonDate="0" containsDate="1" containsString="0" minDate="2019-07-16T00:00:00" maxDate="2019-10-14T00:00:00" count="7">
        <d v="2019-07-16T00:00:00"/>
        <d v="2019-09-13T00:00:00"/>
        <d v="2019-09-11T00:00:00"/>
        <d v="2019-08-30T00:00:00"/>
        <d v="2019-07-30T00:00:00"/>
        <d v="2019-09-29T00:00:00"/>
        <d v="2019-10-13T00:00:00"/>
      </sharedItems>
    </cacheField>
    <cacheField name="Forma Pag" numFmtId="0">
      <sharedItems/>
    </cacheField>
    <cacheField name="% IVA" numFmtId="166">
      <sharedItems containsSemiMixedTypes="0" containsString="0" containsNumber="1" minValue="0.19" maxValue="0.19"/>
    </cacheField>
    <cacheField name="IVA" numFmtId="44">
      <sharedItems containsSemiMixedTypes="0" containsString="0" containsNumber="1" minValue="282.05842000000001" maxValue="629196.21"/>
    </cacheField>
    <cacheField name="%IRF" numFmtId="9">
      <sharedItems containsNonDate="0" containsString="0" containsBlank="1"/>
    </cacheField>
    <cacheField name="IRF" numFmtId="164">
      <sharedItems containsNonDate="0" containsString="0" containsBlank="1"/>
    </cacheField>
    <cacheField name="Estado Fct" numFmtId="0">
      <sharedItems/>
    </cacheField>
    <cacheField name="TOTAL_FACTURA" numFmtId="0" formula="TOTAL+IVA-IR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">
  <r>
    <x v="0"/>
    <x v="0"/>
    <x v="0"/>
    <x v="0"/>
    <x v="0"/>
    <x v="0"/>
    <n v="50000"/>
    <n v="9500"/>
    <n v="0"/>
    <n v="59500"/>
    <n v="30"/>
    <n v="60"/>
    <n v="90"/>
    <s v="Pendiente"/>
  </r>
  <r>
    <x v="1"/>
    <x v="1"/>
    <x v="1"/>
    <x v="1"/>
    <x v="1"/>
    <x v="1"/>
    <n v="250000"/>
    <n v="47500"/>
    <n v="0"/>
    <n v="297500"/>
    <n v="30"/>
    <n v="60"/>
    <n v="90"/>
    <s v="Contabilizada"/>
  </r>
  <r>
    <x v="2"/>
    <x v="2"/>
    <x v="2"/>
    <x v="2"/>
    <x v="2"/>
    <x v="2"/>
    <n v="180000"/>
    <n v="34200"/>
    <n v="0"/>
    <n v="214200"/>
    <n v="30"/>
    <n v="60"/>
    <n v="90"/>
    <s v="Pagada"/>
  </r>
  <r>
    <x v="3"/>
    <x v="3"/>
    <x v="3"/>
    <x v="3"/>
    <x v="3"/>
    <x v="3"/>
    <n v="500000"/>
    <n v="95000"/>
    <n v="0"/>
    <n v="595000"/>
    <n v="15"/>
    <n v="30"/>
    <n v="60"/>
    <s v="En Mora"/>
  </r>
  <r>
    <x v="3"/>
    <x v="4"/>
    <x v="4"/>
    <x v="4"/>
    <x v="4"/>
    <x v="4"/>
    <n v="1000000"/>
    <n v="190000"/>
    <n v="0"/>
    <n v="1190000"/>
    <n v="30"/>
    <n v="60"/>
    <n v="90"/>
    <s v="Pagada"/>
  </r>
  <r>
    <x v="3"/>
    <x v="5"/>
    <x v="5"/>
    <x v="5"/>
    <x v="5"/>
    <x v="5"/>
    <n v="25000"/>
    <n v="4750"/>
    <n v="0"/>
    <n v="29750"/>
    <n v="30"/>
    <n v="60"/>
    <n v="90"/>
    <s v="Pagada"/>
  </r>
  <r>
    <x v="4"/>
    <x v="6"/>
    <x v="6"/>
    <x v="6"/>
    <x v="6"/>
    <x v="6"/>
    <n v="750000"/>
    <n v="142500"/>
    <n v="0"/>
    <n v="892500"/>
    <n v="15"/>
    <n v="30"/>
    <n v="60"/>
    <s v="Contabilizada"/>
  </r>
  <r>
    <x v="5"/>
    <x v="7"/>
    <x v="7"/>
    <x v="7"/>
    <x v="7"/>
    <x v="7"/>
    <n v="80000"/>
    <n v="0"/>
    <n v="0"/>
    <n v="80000"/>
    <n v="30"/>
    <n v="60"/>
    <n v="90"/>
    <s v="Pagada"/>
  </r>
  <r>
    <x v="6"/>
    <x v="8"/>
    <x v="8"/>
    <x v="8"/>
    <x v="8"/>
    <x v="8"/>
    <n v="35000"/>
    <n v="0"/>
    <n v="0"/>
    <n v="35000"/>
    <n v="30"/>
    <n v="60"/>
    <n v="90"/>
    <s v="Pagada"/>
  </r>
  <r>
    <x v="7"/>
    <x v="9"/>
    <x v="9"/>
    <x v="9"/>
    <x v="9"/>
    <x v="9"/>
    <n v="5000"/>
    <n v="0"/>
    <n v="0"/>
    <n v="5000"/>
    <n v="30"/>
    <n v="60"/>
    <n v="90"/>
    <s v="Pagada"/>
  </r>
  <r>
    <x v="8"/>
    <x v="10"/>
    <x v="10"/>
    <x v="10"/>
    <x v="1"/>
    <x v="10"/>
    <n v="70000"/>
    <n v="13300"/>
    <n v="0"/>
    <n v="83300"/>
    <n v="30"/>
    <n v="60"/>
    <n v="90"/>
    <s v="Pendiente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s v="05/25/2019"/>
    <x v="0"/>
    <x v="0"/>
    <n v="1"/>
    <n v="12500"/>
    <n v="0.01"/>
    <n v="125"/>
    <n v="12375"/>
    <n v="12375"/>
    <x v="0"/>
    <x v="0"/>
    <n v="15"/>
    <x v="0"/>
    <s v="BBVA"/>
    <n v="0.19"/>
    <n v="2351.25"/>
    <m/>
    <m/>
    <s v="Cliente Avisado"/>
  </r>
  <r>
    <d v="2019-02-05T00:00:00"/>
    <x v="1"/>
    <x v="1"/>
    <n v="5"/>
    <n v="25000"/>
    <n v="0"/>
    <n v="0"/>
    <n v="25000"/>
    <n v="125000"/>
    <x v="1"/>
    <x v="1"/>
    <n v="60"/>
    <x v="1"/>
    <s v="Baloto"/>
    <n v="0.19"/>
    <n v="23750"/>
    <m/>
    <m/>
    <s v="En Mora"/>
  </r>
  <r>
    <s v="05/28/2019"/>
    <x v="2"/>
    <x v="2"/>
    <n v="25"/>
    <n v="7200"/>
    <n v="1.2E-2"/>
    <n v="86.4"/>
    <n v="7113.6"/>
    <n v="177840"/>
    <x v="2"/>
    <x v="2"/>
    <n v="30"/>
    <x v="2"/>
    <s v="Consignacion"/>
    <n v="0.19"/>
    <n v="33789.599999999999"/>
    <m/>
    <m/>
    <s v="Cliente Avisado"/>
  </r>
  <r>
    <s v="05/25/2020"/>
    <x v="0"/>
    <x v="3"/>
    <n v="36"/>
    <n v="12000"/>
    <n v="0"/>
    <n v="0"/>
    <n v="12000"/>
    <n v="432000"/>
    <x v="3"/>
    <x v="0"/>
    <n v="60"/>
    <x v="3"/>
    <s v="Consignacion"/>
    <n v="0.19"/>
    <n v="82080"/>
    <m/>
    <m/>
    <s v="Pagado"/>
  </r>
  <r>
    <d v="2019-02-06T00:00:00"/>
    <x v="3"/>
    <x v="4"/>
    <n v="98"/>
    <n v="900"/>
    <n v="0"/>
    <n v="0"/>
    <n v="900"/>
    <n v="88200"/>
    <x v="4"/>
    <x v="1"/>
    <n v="15"/>
    <x v="4"/>
    <s v="Recibo"/>
    <n v="0.19"/>
    <n v="16758"/>
    <m/>
    <m/>
    <s v="Pagado"/>
  </r>
  <r>
    <s v="05/28/2019"/>
    <x v="4"/>
    <x v="4"/>
    <n v="78"/>
    <n v="900"/>
    <n v="5.0000000000000001E-3"/>
    <n v="4.5"/>
    <n v="895.5"/>
    <n v="69849"/>
    <x v="5"/>
    <x v="2"/>
    <n v="30"/>
    <x v="2"/>
    <s v="Efecti"/>
    <n v="0.19"/>
    <n v="13271.31"/>
    <m/>
    <m/>
    <s v="Pagado"/>
  </r>
  <r>
    <s v="05/25/2019"/>
    <x v="5"/>
    <x v="5"/>
    <n v="125"/>
    <n v="50"/>
    <n v="8.9999999999999993E-3"/>
    <n v="0.44999999999999996"/>
    <n v="49.55"/>
    <n v="6193.75"/>
    <x v="6"/>
    <x v="0"/>
    <n v="90"/>
    <x v="5"/>
    <s v="BBVA"/>
    <n v="0.19"/>
    <n v="1176.8125"/>
    <m/>
    <m/>
    <s v="Recibido Pagare"/>
  </r>
  <r>
    <d v="2019-02-07T00:00:00"/>
    <x v="6"/>
    <x v="6"/>
    <n v="458"/>
    <n v="7"/>
    <n v="0"/>
    <n v="0"/>
    <n v="7"/>
    <n v="3206"/>
    <x v="7"/>
    <x v="1"/>
    <n v="60"/>
    <x v="1"/>
    <s v="BBVA"/>
    <n v="0.19"/>
    <n v="609.14"/>
    <m/>
    <m/>
    <s v="Cliente Avisado"/>
  </r>
  <r>
    <s v="05/28/2019"/>
    <x v="0"/>
    <x v="7"/>
    <n v="47"/>
    <n v="789"/>
    <n v="0.01"/>
    <n v="7.8900000000000006"/>
    <n v="781.11"/>
    <n v="36712.17"/>
    <x v="8"/>
    <x v="2"/>
    <n v="30"/>
    <x v="2"/>
    <s v="Consignacion"/>
    <n v="0.19"/>
    <n v="6975.3122999999996"/>
    <m/>
    <m/>
    <s v="Enviado"/>
  </r>
  <r>
    <s v="05/25/2019"/>
    <x v="7"/>
    <x v="8"/>
    <n v="126"/>
    <n v="50"/>
    <n v="0"/>
    <n v="0"/>
    <n v="50"/>
    <n v="6300"/>
    <x v="9"/>
    <x v="0"/>
    <n v="90"/>
    <x v="5"/>
    <s v="Consignacion"/>
    <n v="0.19"/>
    <n v="1197"/>
    <m/>
    <m/>
    <s v="Enviado"/>
  </r>
  <r>
    <d v="2019-02-08T00:00:00"/>
    <x v="2"/>
    <x v="3"/>
    <n v="96"/>
    <n v="12000"/>
    <n v="1.2E-2"/>
    <n v="144"/>
    <n v="11856"/>
    <n v="1138176"/>
    <x v="10"/>
    <x v="1"/>
    <n v="60"/>
    <x v="1"/>
    <s v="Erfecti"/>
    <n v="0.19"/>
    <n v="216253.44"/>
    <m/>
    <m/>
    <s v="Enviado"/>
  </r>
  <r>
    <s v="05/28/2019"/>
    <x v="0"/>
    <x v="2"/>
    <n v="36"/>
    <n v="7200"/>
    <n v="1.4999999999999999E-2"/>
    <n v="108"/>
    <n v="7092"/>
    <n v="255312"/>
    <x v="11"/>
    <x v="2"/>
    <n v="30"/>
    <x v="2"/>
    <s v="Erfecti"/>
    <n v="0.19"/>
    <n v="48509.279999999999"/>
    <m/>
    <m/>
    <s v="Enviado"/>
  </r>
  <r>
    <s v="05/25/2019"/>
    <x v="6"/>
    <x v="9"/>
    <n v="325"/>
    <n v="3500"/>
    <n v="0"/>
    <n v="0"/>
    <n v="3500"/>
    <n v="1137500"/>
    <x v="12"/>
    <x v="0"/>
    <n v="60"/>
    <x v="3"/>
    <s v="Consignacion"/>
    <n v="0.19"/>
    <n v="216125"/>
    <m/>
    <m/>
    <s v="Pagado"/>
  </r>
  <r>
    <d v="2019-02-09T00:00:00"/>
    <x v="8"/>
    <x v="4"/>
    <n v="3698"/>
    <n v="900"/>
    <n v="5.0000000000000001E-3"/>
    <n v="4.5"/>
    <n v="895.5"/>
    <n v="3311559"/>
    <x v="13"/>
    <x v="1"/>
    <n v="90"/>
    <x v="6"/>
    <s v="Consignacion"/>
    <n v="0.19"/>
    <n v="629196.21"/>
    <m/>
    <m/>
    <s v="Pagado"/>
  </r>
  <r>
    <s v="05/28/2019"/>
    <x v="9"/>
    <x v="6"/>
    <n v="214"/>
    <n v="7"/>
    <n v="8.9999999999999993E-3"/>
    <n v="6.3E-2"/>
    <n v="6.9370000000000003"/>
    <n v="1484.518"/>
    <x v="14"/>
    <x v="2"/>
    <n v="30"/>
    <x v="2"/>
    <s v="Consignacion"/>
    <n v="0.19"/>
    <n v="282.05842000000001"/>
    <m/>
    <m/>
    <s v="Pagado"/>
  </r>
  <r>
    <s v="05/25/2019"/>
    <x v="0"/>
    <x v="5"/>
    <n v="258"/>
    <n v="50"/>
    <n v="0"/>
    <n v="0"/>
    <n v="50"/>
    <n v="12900"/>
    <x v="15"/>
    <x v="0"/>
    <n v="90"/>
    <x v="5"/>
    <s v="Consignacion"/>
    <n v="0.19"/>
    <n v="2451"/>
    <m/>
    <m/>
    <s v="Sin Envia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Factura" cacheId="1" applyNumberFormats="0" applyBorderFormats="0" applyFontFormats="0" applyPatternFormats="0" applyAlignmentFormats="0" applyWidthHeightFormats="1" dataCaption="Valores" updatedVersion="4" minRefreshableVersion="3" rowGrandTotals="0" colGrandTotals="0" itemPrintTitles="1" createdVersion="4" indent="0" outline="1" outlineData="1" multipleFieldFilters="0">
  <location ref="C15:H16" firstHeaderRow="0" firstDataRow="1" firstDataCol="1" rowPageCount="1" colPageCount="1"/>
  <pivotFields count="20">
    <pivotField showAll="0"/>
    <pivotField showAll="0"/>
    <pivotField axis="axisRow" showAll="0">
      <items count="19">
        <item m="1" x="15"/>
        <item m="1" x="10"/>
        <item m="1" x="13"/>
        <item m="1" x="11"/>
        <item m="1" x="16"/>
        <item m="1" x="14"/>
        <item m="1" x="12"/>
        <item m="1" x="17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numFmtId="4" showAll="0"/>
    <pivotField dataField="1" numFmtId="44" showAll="0"/>
    <pivotField numFmtId="166" showAll="0"/>
    <pivotField dataField="1" numFmtId="44" showAll="0"/>
    <pivotField dataField="1" numFmtId="44" showAll="0"/>
    <pivotField dataField="1" numFmtId="44" showAll="0"/>
    <pivotField axis="axisPage" numFmtId="1" showAll="0">
      <items count="17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numFmtId="14" showAll="0"/>
    <pivotField numFmtId="165" showAll="0"/>
    <pivotField numFmtId="14" showAll="0"/>
    <pivotField showAll="0"/>
    <pivotField numFmtId="166" showAll="0"/>
    <pivotField numFmtId="44" showAll="0"/>
    <pivotField numFmtId="9" showAll="0"/>
    <pivotField numFmtId="164" showAll="0"/>
    <pivotField showAll="0"/>
    <pivotField dragToRow="0" dragToCol="0" dragToPage="0" showAll="0" defaultSubtotal="0"/>
  </pivotFields>
  <rowFields count="1">
    <field x="2"/>
  </rowFields>
  <rowItems count="1">
    <i>
      <x v="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9" item="1" hier="-1"/>
  </pageFields>
  <dataFields count="5">
    <dataField name="Suma de Cantidad" fld="3" baseField="2" baseItem="0"/>
    <dataField name="Suma de Precio /UD" fld="4" baseField="2" baseItem="0" numFmtId="164"/>
    <dataField name="Suma de Dto" fld="6" baseField="2" baseItem="0" numFmtId="164"/>
    <dataField name="Suma de Importe Ud" fld="7" baseField="2" baseItem="0" numFmtId="164"/>
    <dataField name="Suma de TOTAL" fld="8" baseField="2" baseItem="0" numFmtId="164"/>
  </dataFields>
  <formats count="8">
    <format dxfId="69">
      <pivotArea outline="0" collapsedLevelsAreSubtotals="1" fieldPosition="0"/>
    </format>
    <format dxfId="6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9" type="button" dataOnly="0" labelOnly="1" outline="0" axis="axisPage" fieldPosition="0"/>
    </format>
    <format dxfId="64">
      <pivotArea dataOnly="0" labelOnly="1" outline="0" fieldPosition="0">
        <references count="1">
          <reference field="9" count="1">
            <x v="4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_Emitidas" cacheId="1" applyNumberFormats="0" applyBorderFormats="0" applyFontFormats="0" applyPatternFormats="0" applyAlignmentFormats="0" applyWidthHeightFormats="1" dataCaption="Valores" updatedVersion="4" minRefreshableVersion="3" showDrill="0" itemPrintTitles="1" createdVersion="4" indent="0" compact="0" compactData="0" multipleFieldFilters="0">
  <location ref="C5:J22" firstHeaderRow="0" firstDataRow="1" firstDataCol="4"/>
  <pivotFields count="20">
    <pivotField compact="0" outline="0" showAll="0" defaultSubtotal="0"/>
    <pivotField axis="axisRow" compact="0" outline="0" showAll="0" defaultSubtotal="0">
      <items count="18">
        <item m="1" x="11"/>
        <item m="1" x="13"/>
        <item m="1" x="16"/>
        <item m="1" x="14"/>
        <item m="1" x="12"/>
        <item m="1" x="10"/>
        <item m="1" x="17"/>
        <item m="1" x="15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numFmtId="4" outline="0" showAll="0" defaultSubtotal="0"/>
    <pivotField compact="0" numFmtId="44" outline="0" showAll="0" defaultSubtotal="0"/>
    <pivotField compact="0" numFmtId="166" outline="0" showAll="0" defaultSubtotal="0"/>
    <pivotField compact="0" numFmtId="44" outline="0" showAll="0" defaultSubtotal="0"/>
    <pivotField compact="0" numFmtId="44" outline="0" showAll="0" defaultSubtotal="0"/>
    <pivotField dataField="1" compact="0" numFmtId="44" outline="0" showAll="0" defaultSubtotal="0"/>
    <pivotField axis="axisRow" compact="0" numFmtId="1" outline="0" showAll="0" defaultSubtotal="0">
      <items count="16">
        <item x="0"/>
        <item x="1"/>
        <item x="2"/>
        <item x="4"/>
        <item x="3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numFmtId="14" outline="0" showAll="0" defaultSubtotal="0">
      <items count="3">
        <item x="0"/>
        <item x="1"/>
        <item x="2"/>
      </items>
    </pivotField>
    <pivotField compact="0" numFmtId="165" outline="0" showAll="0" defaultSubtotal="0"/>
    <pivotField axis="axisRow" compact="0" numFmtId="14" outline="0" showAll="0" defaultSubtotal="0">
      <items count="7">
        <item x="0"/>
        <item x="4"/>
        <item x="3"/>
        <item x="2"/>
        <item x="1"/>
        <item x="5"/>
        <item x="6"/>
      </items>
    </pivotField>
    <pivotField compact="0" outline="0" showAll="0" defaultSubtotal="0"/>
    <pivotField compact="0" numFmtId="166" outline="0" showAll="0" defaultSubtotal="0"/>
    <pivotField dataField="1" compact="0" numFmtId="44" outline="0" showAll="0" defaultSubtotal="0"/>
    <pivotField compact="0" numFmtId="9" outline="0" showAll="0" defaultSubtotal="0"/>
    <pivotField dataField="1" compact="0" numFmtId="164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4">
    <field x="9"/>
    <field x="10"/>
    <field x="1"/>
    <field x="12"/>
  </rowFields>
  <rowItems count="17">
    <i>
      <x/>
      <x/>
      <x v="8"/>
      <x/>
    </i>
    <i>
      <x v="1"/>
      <x v="1"/>
      <x v="9"/>
      <x v="4"/>
    </i>
    <i>
      <x v="2"/>
      <x v="2"/>
      <x v="10"/>
      <x v="3"/>
    </i>
    <i>
      <x v="3"/>
      <x v="1"/>
      <x v="11"/>
      <x v="1"/>
    </i>
    <i>
      <x v="4"/>
      <x/>
      <x v="8"/>
      <x v="2"/>
    </i>
    <i>
      <x v="5"/>
      <x v="2"/>
      <x v="12"/>
      <x v="3"/>
    </i>
    <i>
      <x v="6"/>
      <x/>
      <x v="13"/>
      <x v="5"/>
    </i>
    <i>
      <x v="7"/>
      <x v="1"/>
      <x v="14"/>
      <x v="4"/>
    </i>
    <i>
      <x v="8"/>
      <x v="2"/>
      <x v="8"/>
      <x v="3"/>
    </i>
    <i>
      <x v="9"/>
      <x/>
      <x v="15"/>
      <x v="5"/>
    </i>
    <i>
      <x v="10"/>
      <x v="1"/>
      <x v="10"/>
      <x v="4"/>
    </i>
    <i>
      <x v="11"/>
      <x v="2"/>
      <x v="8"/>
      <x v="3"/>
    </i>
    <i>
      <x v="12"/>
      <x/>
      <x v="14"/>
      <x v="2"/>
    </i>
    <i>
      <x v="13"/>
      <x v="1"/>
      <x v="16"/>
      <x v="6"/>
    </i>
    <i>
      <x v="14"/>
      <x v="2"/>
      <x v="17"/>
      <x v="3"/>
    </i>
    <i>
      <x v="15"/>
      <x/>
      <x v="8"/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BASE" fld="8" baseField="0" baseItem="0"/>
    <dataField name="TOTAL IVA" fld="15" baseField="0" baseItem="0"/>
    <dataField name="TOTAL  IRF" fld="17" baseField="0" baseItem="0"/>
    <dataField name="TOTAL FACTURA" fld="19" baseField="0" baseItem="0"/>
  </dataFields>
  <formats count="5">
    <format dxfId="61">
      <pivotArea outline="0" collapsedLevelsAreSubtotals="1" fieldPosition="0">
        <references count="5">
          <reference field="4294967294" count="1" selected="0">
            <x v="0"/>
          </reference>
          <reference field="1" count="1" selected="0">
            <x v="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0"/>
          </reference>
        </references>
      </pivotArea>
    </format>
    <format dxfId="60">
      <pivotArea dataOnly="0" outline="0" fieldPosition="0">
        <references count="1">
          <reference field="4294967294" count="1">
            <x v="0"/>
          </reference>
        </references>
      </pivotArea>
    </format>
    <format dxfId="59">
      <pivotArea dataOnly="0" outline="0" fieldPosition="0">
        <references count="1">
          <reference field="4294967294" count="1">
            <x v="1"/>
          </reference>
        </references>
      </pivotArea>
    </format>
    <format dxfId="58">
      <pivotArea dataOnly="0" outline="0" fieldPosition="0">
        <references count="1">
          <reference field="4294967294" count="1">
            <x v="2"/>
          </reference>
        </references>
      </pivotArea>
    </format>
    <format dxfId="57">
      <pivotArea dataOnly="0" outline="0" fieldPosition="0">
        <references count="1">
          <reference field="4294967294" count="1">
            <x v="3"/>
          </reference>
        </references>
      </pivotArea>
    </format>
  </formats>
  <pivotTableStyleInfo name="PivotStyleLight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_Recibidas" cacheId="0" applyNumberFormats="0" applyBorderFormats="0" applyFontFormats="0" applyPatternFormats="0" applyAlignmentFormats="0" applyWidthHeightFormats="1" dataCaption="Valores" grandTotalCaption="TOTAL" updatedVersion="4" minRefreshableVersion="3" showDrill="0" itemPrintTitles="1" createdVersion="4" indent="0" compact="0" compactData="0" multipleFieldFilters="0">
  <location ref="C5:L17" firstHeaderRow="0" firstDataRow="1" firstDataCol="6"/>
  <pivotFields count="14">
    <pivotField axis="axisRow" compact="0" outline="0" showAll="0" defaultSubtotal="0">
      <items count="9">
        <item x="3"/>
        <item x="4"/>
        <item x="7"/>
        <item x="0"/>
        <item x="8"/>
        <item x="1"/>
        <item x="5"/>
        <item x="6"/>
        <item x="2"/>
      </items>
    </pivotField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1">
        <item x="2"/>
        <item x="7"/>
        <item x="8"/>
        <item x="10"/>
        <item x="0"/>
        <item x="9"/>
        <item x="3"/>
        <item x="5"/>
        <item x="6"/>
        <item x="1"/>
        <item x="4"/>
      </items>
    </pivotField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0">
        <item x="0"/>
        <item x="9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1">
        <item x="8"/>
        <item x="3"/>
        <item x="4"/>
        <item x="9"/>
        <item x="7"/>
        <item x="2"/>
        <item x="6"/>
        <item x="0"/>
        <item x="5"/>
        <item x="10"/>
        <item x="1"/>
      </items>
    </pivotField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dataField="1" compact="0" numFmtId="44" outline="0" showAll="0" defaultSubtotal="0"/>
    <pivotField compact="0" numFmtId="165" outline="0" showAll="0" defaultSubtotal="0"/>
    <pivotField compact="0" numFmtId="165" outline="0" showAll="0" defaultSubtotal="0"/>
    <pivotField compact="0" numFmtId="165" outline="0" showAll="0" defaultSubtotal="0"/>
    <pivotField compact="0" outline="0" showAll="0" defaultSubtotal="0"/>
  </pivotFields>
  <rowFields count="6">
    <field x="1"/>
    <field x="0"/>
    <field x="3"/>
    <field x="2"/>
    <field x="4"/>
    <field x="5"/>
  </rowFields>
  <rowItems count="12">
    <i>
      <x/>
      <x v="3"/>
      <x/>
      <x v="4"/>
      <x/>
      <x v="7"/>
    </i>
    <i>
      <x v="1"/>
      <x v="5"/>
      <x v="1"/>
      <x v="9"/>
      <x v="2"/>
      <x v="10"/>
    </i>
    <i>
      <x v="2"/>
      <x v="8"/>
      <x v="2"/>
      <x/>
      <x v="3"/>
      <x v="5"/>
    </i>
    <i>
      <x v="3"/>
      <x/>
      <x v="3"/>
      <x v="6"/>
      <x v="4"/>
      <x v="1"/>
    </i>
    <i>
      <x v="4"/>
      <x/>
      <x v="4"/>
      <x v="10"/>
      <x v="5"/>
      <x v="2"/>
    </i>
    <i>
      <x v="5"/>
      <x/>
      <x v="5"/>
      <x v="7"/>
      <x v="6"/>
      <x v="8"/>
    </i>
    <i>
      <x v="6"/>
      <x v="1"/>
      <x v="6"/>
      <x v="8"/>
      <x v="7"/>
      <x v="6"/>
    </i>
    <i>
      <x v="7"/>
      <x v="6"/>
      <x v="7"/>
      <x v="1"/>
      <x v="8"/>
      <x v="4"/>
    </i>
    <i>
      <x v="8"/>
      <x v="7"/>
      <x v="8"/>
      <x v="2"/>
      <x v="9"/>
      <x/>
    </i>
    <i>
      <x v="9"/>
      <x v="2"/>
      <x v="9"/>
      <x v="5"/>
      <x v="1"/>
      <x v="3"/>
    </i>
    <i>
      <x v="10"/>
      <x v="4"/>
      <x v="10"/>
      <x v="3"/>
      <x v="2"/>
      <x v="9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MPORTE" fld="6" baseField="0" baseItem="0"/>
    <dataField name="TOTAL  IVA" fld="7" baseField="0" baseItem="0"/>
    <dataField name=" IRPF" fld="8" baseField="0" baseItem="0"/>
    <dataField name="TOTAL FACTURA" fld="9" baseField="0" baseItem="0"/>
  </dataFields>
  <formats count="27">
    <format dxfId="27">
      <pivotArea dataOnly="0" labelOnly="1" outline="0" fieldPosition="0">
        <references count="2">
          <reference field="0" count="1">
            <x v="3"/>
          </reference>
          <reference field="1" count="1" selected="0">
            <x v="0"/>
          </reference>
        </references>
      </pivotArea>
    </format>
    <format dxfId="26">
      <pivotArea dataOnly="0" labelOnly="1" outline="0" fieldPosition="0">
        <references count="2">
          <reference field="0" count="1">
            <x v="5"/>
          </reference>
          <reference field="1" count="1" selected="0">
            <x v="1"/>
          </reference>
        </references>
      </pivotArea>
    </format>
    <format dxfId="25">
      <pivotArea dataOnly="0" labelOnly="1" outline="0" fieldPosition="0">
        <references count="2">
          <reference field="0" count="1">
            <x v="8"/>
          </reference>
          <reference field="1" count="1" selected="0">
            <x v="2"/>
          </reference>
        </references>
      </pivotArea>
    </format>
    <format dxfId="24">
      <pivotArea dataOnly="0" labelOnly="1" outline="0" fieldPosition="0">
        <references count="2">
          <reference field="0" count="1">
            <x v="0"/>
          </reference>
          <reference field="1" count="1" selected="0">
            <x v="3"/>
          </reference>
        </references>
      </pivotArea>
    </format>
    <format dxfId="23">
      <pivotArea dataOnly="0" labelOnly="1" outline="0" fieldPosition="0">
        <references count="2">
          <reference field="0" count="1">
            <x v="1"/>
          </reference>
          <reference field="1" count="1" selected="0">
            <x v="6"/>
          </reference>
        </references>
      </pivotArea>
    </format>
    <format dxfId="22">
      <pivotArea dataOnly="0" labelOnly="1" outline="0" fieldPosition="0">
        <references count="2">
          <reference field="0" count="1">
            <x v="6"/>
          </reference>
          <reference field="1" count="1" selected="0">
            <x v="7"/>
          </reference>
        </references>
      </pivotArea>
    </format>
    <format dxfId="21">
      <pivotArea dataOnly="0" labelOnly="1" outline="0" fieldPosition="0">
        <references count="2">
          <reference field="0" count="1">
            <x v="7"/>
          </reference>
          <reference field="1" count="1" selected="0">
            <x v="8"/>
          </reference>
        </references>
      </pivotArea>
    </format>
    <format dxfId="20">
      <pivotArea dataOnly="0" labelOnly="1" outline="0" fieldPosition="0">
        <references count="2">
          <reference field="0" count="1">
            <x v="2"/>
          </reference>
          <reference field="1" count="1" selected="0">
            <x v="9"/>
          </reference>
        </references>
      </pivotArea>
    </format>
    <format dxfId="19">
      <pivotArea dataOnly="0" labelOnly="1" outline="0" fieldPosition="0">
        <references count="2">
          <reference field="0" count="1">
            <x v="4"/>
          </reference>
          <reference field="1" count="1" selected="0">
            <x v="10"/>
          </reference>
        </references>
      </pivotArea>
    </format>
    <format dxfId="18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>
            <x v="4"/>
          </reference>
          <reference field="3" count="1" selected="0">
            <x v="0"/>
          </reference>
        </references>
      </pivotArea>
    </format>
    <format dxfId="17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>
            <x v="9"/>
          </reference>
          <reference field="3" count="1" selected="0">
            <x v="1"/>
          </reference>
        </references>
      </pivotArea>
    </format>
    <format dxfId="16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2"/>
          </reference>
          <reference field="2" count="1">
            <x v="0"/>
          </reference>
          <reference field="3" count="1" selected="0">
            <x v="2"/>
          </reference>
        </references>
      </pivotArea>
    </format>
    <format dxfId="1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3"/>
          </reference>
          <reference field="2" count="1">
            <x v="6"/>
          </reference>
          <reference field="3" count="1" selected="0">
            <x v="3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4"/>
          </reference>
          <reference field="2" count="1">
            <x v="10"/>
          </reference>
          <reference field="3" count="1" selected="0">
            <x v="4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5"/>
          </reference>
          <reference field="2" count="1">
            <x v="7"/>
          </reference>
          <reference field="3" count="1" selected="0">
            <x v="5"/>
          </reference>
        </references>
      </pivotArea>
    </format>
    <format dxfId="12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6"/>
          </reference>
          <reference field="2" count="1">
            <x v="8"/>
          </reference>
          <reference field="3" count="1" selected="0">
            <x v="6"/>
          </reference>
        </references>
      </pivotArea>
    </format>
    <format dxfId="11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7"/>
          </reference>
          <reference field="2" count="1">
            <x v="1"/>
          </reference>
          <reference field="3" count="1" selected="0">
            <x v="7"/>
          </reference>
        </references>
      </pivotArea>
    </format>
    <format dxfId="10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8"/>
          </reference>
          <reference field="2" count="1">
            <x v="2"/>
          </reference>
          <reference field="3" count="1" selected="0">
            <x v="8"/>
          </reference>
        </references>
      </pivotArea>
    </format>
    <format dxfId="9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9"/>
          </reference>
          <reference field="2" count="1">
            <x v="5"/>
          </reference>
          <reference field="3" count="1" selected="0">
            <x v="9"/>
          </reference>
        </references>
      </pivotArea>
    </format>
    <format dxfId="8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10"/>
          </reference>
          <reference field="2" count="1">
            <x v="3"/>
          </reference>
          <reference field="3" count="1" selected="0">
            <x v="10"/>
          </reference>
        </references>
      </pivotArea>
    </format>
    <format dxfId="7">
      <pivotArea outline="0" collapsedLevelsAreSubtotals="1" fieldPosition="0"/>
    </format>
    <format dxfId="6">
      <pivotArea dataOnly="0" labelOnly="1" outline="0" fieldPosition="0">
        <references count="1">
          <reference field="1" count="0"/>
        </references>
      </pivotArea>
    </format>
    <format dxfId="5">
      <pivotArea type="all" dataOnly="0" outline="0" fieldPosition="0"/>
    </format>
    <format dxfId="4">
      <pivotArea type="all" dataOnly="0" outline="0" fieldPosition="0"/>
    </format>
    <format dxfId="3">
      <pivotArea grandRow="1" outline="0" collapsedLevelsAreSubtotals="1" fieldPosition="0"/>
    </format>
    <format dxfId="2">
      <pivotArea dataOnly="0" labelOnly="1" grandRow="1" outline="0" fieldPosition="0"/>
    </format>
    <format dxfId="1">
      <pivotArea field="1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_Productos_Servi" displayName="Tabla_Productos_Servi" ref="C5:E15" totalsRowShown="0" headerRowDxfId="104" dataDxfId="103">
  <autoFilter ref="C5:E15"/>
  <tableColumns count="3">
    <tableColumn id="1" name="Producto" dataDxfId="102"/>
    <tableColumn id="2" name="Precio /UD" dataDxfId="101"/>
    <tableColumn id="3" name="% IVA" dataDxfId="100" dataCellStyle="Porcentaje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2" name="TablaClientes" displayName="TablaClientes" ref="C5:K15" totalsRowShown="0" headerRowDxfId="99" dataDxfId="98">
  <autoFilter ref="C5:K15"/>
  <tableColumns count="9">
    <tableColumn id="1" name="Clientes" dataDxfId="97"/>
    <tableColumn id="2" name="Direccion" dataDxfId="96"/>
    <tableColumn id="3" name="C.P" dataDxfId="95"/>
    <tableColumn id="4" name="Población" dataDxfId="94"/>
    <tableColumn id="5" name="Pais" dataDxfId="93"/>
    <tableColumn id="6" name="CC/NIT" dataDxfId="92"/>
    <tableColumn id="7" name="Telefono" dataDxfId="91"/>
    <tableColumn id="8" name="Vencimientos" dataDxfId="90"/>
    <tableColumn id="9" name="Formas de pago" dataDxfId="89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3" name="Tabla_lIngresos" displayName="Tabla_lIngresos" ref="C10:S18" totalsRowShown="0" headerRowDxfId="88" dataDxfId="87">
  <autoFilter ref="C10:S18"/>
  <tableColumns count="17">
    <tableColumn id="1" name="Fecha ingre" dataDxfId="86"/>
    <tableColumn id="2" name="Cliente" dataDxfId="85"/>
    <tableColumn id="3" name="Producto" dataDxfId="84"/>
    <tableColumn id="4" name="Cantidad" dataDxfId="83"/>
    <tableColumn id="5" name="Precio /UD" dataDxfId="82" dataCellStyle="Moneda"/>
    <tableColumn id="6" name="%DC" dataDxfId="81" dataCellStyle="Porcentaje"/>
    <tableColumn id="7" name="Dto" dataDxfId="80" dataCellStyle="Moneda">
      <calculatedColumnFormula>Tabla_lIngresos[[#This Row],[Precio /UD]]*Tabla_lIngresos[[#This Row],[%DC]]</calculatedColumnFormula>
    </tableColumn>
    <tableColumn id="8" name="Importe Ud" dataDxfId="79" dataCellStyle="Moneda">
      <calculatedColumnFormula>Tabla_lIngresos[[#This Row],[Precio /UD]]-Tabla_lIngresos[[#This Row],[Dto]]</calculatedColumnFormula>
    </tableColumn>
    <tableColumn id="9" name="TOTAL" dataDxfId="78" dataCellStyle="Moneda">
      <calculatedColumnFormula>Tabla_lIngresos[[#This Row],[Importe Ud]]*Tabla_lIngresos[[#This Row],[Cantidad]]</calculatedColumnFormula>
    </tableColumn>
    <tableColumn id="10" name="N° Fac" dataDxfId="77"/>
    <tableColumn id="11" name="Fecha Fact" dataDxfId="76"/>
    <tableColumn id="12" name="VenciMto" dataDxfId="75"/>
    <tableColumn id="13" name="Fecha Venci" dataDxfId="74">
      <calculatedColumnFormula>IF(Tabla_lIngresos[[#This Row],[Fecha Fact]]="","",Tabla_lIngresos[[#This Row],[Fecha Fact]]+Tabla_lIngresos[[#This Row],[VenciMto]])</calculatedColumnFormula>
    </tableColumn>
    <tableColumn id="14" name="Forma Pag" dataDxfId="73"/>
    <tableColumn id="15" name="% IVA" dataDxfId="72" dataCellStyle="Porcentaje"/>
    <tableColumn id="16" name="IVA" dataDxfId="71" dataCellStyle="Moneda">
      <calculatedColumnFormula>Tabla_lIngresos[[#This Row],[% IVA]]*Tabla_lIngresos[[#This Row],[TOTAL]]</calculatedColumnFormula>
    </tableColumn>
    <tableColumn id="19" name="Estado Fct" dataDxfId="70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5" name="TablaTiposGasto" displayName="TablaTiposGasto" ref="C5:C24" totalsRowShown="0" headerRowDxfId="56" dataDxfId="55">
  <autoFilter ref="C5:C24"/>
  <tableColumns count="1">
    <tableColumn id="1" name="Tipo de Gasto " dataDxfId="5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6" name="TablaProveedores" displayName="TablaProveedores" ref="C5:J15" totalsRowShown="0" headerRowDxfId="53" dataDxfId="52">
  <autoFilter ref="C5:J15"/>
  <tableColumns count="8">
    <tableColumn id="1" name="Proveedores" dataDxfId="51"/>
    <tableColumn id="2" name="Dirección" dataDxfId="50"/>
    <tableColumn id="3" name="C.P" dataDxfId="49"/>
    <tableColumn id="4" name="Población" dataDxfId="48"/>
    <tableColumn id="5" name="País" dataDxfId="47"/>
    <tableColumn id="6" name="Nit/CC" dataDxfId="46"/>
    <tableColumn id="7" name="Teléfono" dataDxfId="45"/>
    <tableColumn id="8" name="Forma de Pago" dataDxfId="44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7" name="TablaRegistro_Gastos" displayName="TablaRegistro_Gastos" ref="C5:P16" totalsRowShown="0" headerRowDxfId="43" dataDxfId="42">
  <autoFilter ref="C5:P16"/>
  <tableColumns count="14">
    <tableColumn id="1" name="Fecha reg" dataDxfId="41"/>
    <tableColumn id="2" name="N° Orden" dataDxfId="40"/>
    <tableColumn id="3" name="Fecha Prove" dataDxfId="39"/>
    <tableColumn id="4" name="N° Fra Proveedor" dataDxfId="38"/>
    <tableColumn id="5" name="Proveedor" dataDxfId="37"/>
    <tableColumn id="6" name="Tipo de Gasto" dataDxfId="36"/>
    <tableColumn id="7" name="Importe/Base" dataDxfId="35" dataCellStyle="Moneda"/>
    <tableColumn id="8" name="IVA" dataDxfId="34" dataCellStyle="Moneda">
      <calculatedColumnFormula>TablaRegistro_Gastos[[#This Row],[Importe/Base]]*0.19</calculatedColumnFormula>
    </tableColumn>
    <tableColumn id="9" name="IRPF" dataDxfId="33" dataCellStyle="Moneda"/>
    <tableColumn id="10" name="TOTAL" dataDxfId="32" dataCellStyle="Moneda">
      <calculatedColumnFormula>TablaRegistro_Gastos[[#This Row],[Importe/Base]]+TablaRegistro_Gastos[[#This Row],[IVA]]-TablaRegistro_Gastos[[#This Row],[IRPF]]</calculatedColumnFormula>
    </tableColumn>
    <tableColumn id="11" name="VenciMt T1" dataDxfId="31"/>
    <tableColumn id="12" name="VenciMt T2" dataDxfId="30"/>
    <tableColumn id="13" name="VenciMt T3" dataDxfId="29"/>
    <tableColumn id="14" name="Estado de la Factura" dataDxfId="28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Elemental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629DD1"/>
      </a:accent1>
      <a:accent2>
        <a:srgbClr val="297FD5"/>
      </a:accent2>
      <a:accent3>
        <a:srgbClr val="7F8FA9"/>
      </a:accent3>
      <a:accent4>
        <a:srgbClr val="4A66AC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parcelar.co/" TargetMode="External"/><Relationship Id="rId1" Type="http://schemas.openxmlformats.org/officeDocument/2006/relationships/hyperlink" Target="mailto:kaliersas.360@g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0">
    <tabColor rgb="FFFFFF00"/>
  </sheetPr>
  <dimension ref="A1:Z308"/>
  <sheetViews>
    <sheetView tabSelected="1" zoomScaleNormal="100" workbookViewId="0"/>
  </sheetViews>
  <sheetFormatPr baseColWidth="10" defaultRowHeight="16.5" x14ac:dyDescent="0.3"/>
  <cols>
    <col min="1" max="2" width="1.7109375" style="2" customWidth="1"/>
    <col min="3" max="3" width="38" style="2" customWidth="1"/>
    <col min="4" max="16384" width="11.42578125" style="2"/>
  </cols>
  <sheetData>
    <row r="1" spans="1:26" x14ac:dyDescent="0.3">
      <c r="A1" s="1"/>
      <c r="B1" s="78" t="s">
        <v>209</v>
      </c>
      <c r="C1" s="78"/>
      <c r="D1" s="78"/>
      <c r="E1" s="79" t="s">
        <v>210</v>
      </c>
      <c r="F1" s="79"/>
      <c r="G1" s="79"/>
      <c r="H1" s="79"/>
      <c r="I1" s="79"/>
      <c r="J1" s="7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78"/>
      <c r="C2" s="78"/>
      <c r="D2" s="78"/>
      <c r="E2" s="79"/>
      <c r="F2" s="79"/>
      <c r="G2" s="79"/>
      <c r="H2" s="79"/>
      <c r="I2" s="79"/>
      <c r="J2" s="79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78"/>
      <c r="C3" s="78"/>
      <c r="D3" s="78"/>
      <c r="E3" s="79"/>
      <c r="F3" s="79"/>
      <c r="G3" s="79"/>
      <c r="H3" s="79"/>
      <c r="I3" s="79"/>
      <c r="J3" s="79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68" t="s">
        <v>211</v>
      </c>
      <c r="F5" s="67"/>
      <c r="G5" s="67"/>
      <c r="H5" s="67"/>
      <c r="I5" s="67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68"/>
      <c r="F6" s="67"/>
      <c r="G6" s="67"/>
      <c r="H6" s="67"/>
      <c r="I6" s="67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">
      <c r="A7" s="1"/>
      <c r="B7" s="1"/>
      <c r="C7" s="1"/>
      <c r="D7" s="1"/>
      <c r="E7" s="68" t="s">
        <v>212</v>
      </c>
      <c r="F7" s="67"/>
      <c r="G7" s="67"/>
      <c r="H7" s="67"/>
      <c r="I7" s="67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68"/>
      <c r="F8" s="67"/>
      <c r="G8" s="67"/>
      <c r="H8" s="67"/>
      <c r="I8" s="67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8" t="s">
        <v>213</v>
      </c>
      <c r="F9" s="67"/>
      <c r="G9" s="67"/>
      <c r="H9" s="67"/>
      <c r="I9" s="67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68"/>
      <c r="F10" s="67"/>
      <c r="G10" s="67"/>
      <c r="H10" s="67"/>
      <c r="I10" s="67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68" t="s">
        <v>214</v>
      </c>
      <c r="F11" s="67"/>
      <c r="G11" s="67"/>
      <c r="H11" s="67"/>
      <c r="I11" s="67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68"/>
      <c r="F12" s="67"/>
      <c r="G12" s="67"/>
      <c r="H12" s="67"/>
      <c r="I12" s="67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68" t="s">
        <v>215</v>
      </c>
      <c r="F13" s="67"/>
      <c r="G13" s="67"/>
      <c r="H13" s="67"/>
      <c r="I13" s="6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68"/>
      <c r="F14" s="67"/>
      <c r="G14" s="67"/>
      <c r="H14" s="67"/>
      <c r="I14" s="67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68" t="s">
        <v>216</v>
      </c>
      <c r="F15" s="67"/>
      <c r="G15" s="67"/>
      <c r="H15" s="67"/>
      <c r="I15" s="67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68"/>
      <c r="F16" s="67"/>
      <c r="G16" s="67"/>
      <c r="H16" s="67"/>
      <c r="I16" s="67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68" t="s">
        <v>217</v>
      </c>
      <c r="F17" s="67"/>
      <c r="G17" s="67"/>
      <c r="H17" s="67"/>
      <c r="I17" s="67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68"/>
      <c r="F18" s="67"/>
      <c r="G18" s="67"/>
      <c r="H18" s="67"/>
      <c r="I18" s="67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68" t="s">
        <v>218</v>
      </c>
      <c r="F19" s="67"/>
      <c r="G19" s="67"/>
      <c r="H19" s="67"/>
      <c r="I19" s="67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68"/>
      <c r="F20" s="67"/>
      <c r="G20" s="67"/>
      <c r="H20" s="67"/>
      <c r="I20" s="67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68" t="s">
        <v>219</v>
      </c>
      <c r="F21" s="67"/>
      <c r="G21" s="67"/>
      <c r="H21" s="67"/>
      <c r="I21" s="67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</sheetData>
  <mergeCells count="2">
    <mergeCell ref="B1:D3"/>
    <mergeCell ref="E1:J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1">
    <tabColor rgb="FF7030A0"/>
  </sheetPr>
  <dimension ref="A1:Z300"/>
  <sheetViews>
    <sheetView showGridLines="0" showRowColHeaders="0" zoomScale="80" zoomScaleNormal="80" workbookViewId="0"/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22.7109375" style="2" customWidth="1"/>
    <col min="4" max="4" width="38.7109375" style="2" customWidth="1"/>
    <col min="5" max="16384" width="11.42578125" style="2"/>
  </cols>
  <sheetData>
    <row r="1" spans="1:26" x14ac:dyDescent="0.3">
      <c r="A1" s="1"/>
      <c r="B1" s="80" t="s">
        <v>18</v>
      </c>
      <c r="C1" s="80"/>
      <c r="D1" s="80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80"/>
      <c r="C2" s="80"/>
      <c r="D2" s="80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80"/>
      <c r="C3" s="80"/>
      <c r="D3" s="80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3" t="s">
        <v>0</v>
      </c>
      <c r="D5" s="3"/>
    </row>
    <row r="6" spans="1:26" x14ac:dyDescent="0.3">
      <c r="A6" s="1"/>
      <c r="C6" s="5" t="s">
        <v>2</v>
      </c>
      <c r="D6" s="4" t="s">
        <v>11</v>
      </c>
    </row>
    <row r="7" spans="1:26" x14ac:dyDescent="0.3">
      <c r="A7" s="1"/>
      <c r="C7" s="5" t="s">
        <v>3</v>
      </c>
      <c r="D7" s="6">
        <v>5746</v>
      </c>
    </row>
    <row r="8" spans="1:26" x14ac:dyDescent="0.3">
      <c r="A8" s="1"/>
      <c r="C8" s="5" t="s">
        <v>4</v>
      </c>
      <c r="D8" s="4" t="s">
        <v>12</v>
      </c>
    </row>
    <row r="9" spans="1:26" x14ac:dyDescent="0.3">
      <c r="A9" s="1"/>
      <c r="C9" s="5" t="s">
        <v>5</v>
      </c>
      <c r="D9" s="4" t="s">
        <v>13</v>
      </c>
    </row>
    <row r="10" spans="1:26" x14ac:dyDescent="0.3">
      <c r="A10" s="1"/>
      <c r="C10" s="5" t="s">
        <v>6</v>
      </c>
      <c r="D10" s="4" t="s">
        <v>14</v>
      </c>
    </row>
    <row r="11" spans="1:26" x14ac:dyDescent="0.3">
      <c r="A11" s="1"/>
      <c r="C11" s="5" t="s">
        <v>7</v>
      </c>
      <c r="D11" s="6">
        <v>3153480459</v>
      </c>
    </row>
    <row r="12" spans="1:26" x14ac:dyDescent="0.3">
      <c r="A12" s="1"/>
      <c r="C12" s="5" t="s">
        <v>8</v>
      </c>
      <c r="D12" s="4" t="s">
        <v>15</v>
      </c>
    </row>
    <row r="13" spans="1:26" x14ac:dyDescent="0.3">
      <c r="A13" s="1"/>
      <c r="C13" s="5" t="s">
        <v>9</v>
      </c>
      <c r="D13" s="7" t="s">
        <v>16</v>
      </c>
    </row>
    <row r="14" spans="1:26" x14ac:dyDescent="0.3">
      <c r="A14" s="1"/>
      <c r="C14" s="5" t="s">
        <v>10</v>
      </c>
      <c r="D14" s="7" t="s">
        <v>17</v>
      </c>
    </row>
    <row r="15" spans="1:26" x14ac:dyDescent="0.3">
      <c r="A15" s="1"/>
    </row>
    <row r="16" spans="1:26" x14ac:dyDescent="0.3">
      <c r="A16" s="1"/>
    </row>
    <row r="17" spans="1:4" x14ac:dyDescent="0.3">
      <c r="A17" s="1"/>
      <c r="C17" s="3" t="s">
        <v>1</v>
      </c>
      <c r="D17" s="8">
        <v>0.21</v>
      </c>
    </row>
    <row r="18" spans="1:4" x14ac:dyDescent="0.3">
      <c r="A18" s="1"/>
    </row>
    <row r="19" spans="1:4" x14ac:dyDescent="0.3">
      <c r="A19" s="1"/>
    </row>
    <row r="20" spans="1:4" x14ac:dyDescent="0.3">
      <c r="A20" s="1"/>
    </row>
    <row r="21" spans="1:4" x14ac:dyDescent="0.3">
      <c r="A21" s="1"/>
    </row>
    <row r="22" spans="1:4" x14ac:dyDescent="0.3">
      <c r="A22" s="1"/>
    </row>
    <row r="23" spans="1:4" x14ac:dyDescent="0.3">
      <c r="A23" s="1"/>
    </row>
    <row r="24" spans="1:4" x14ac:dyDescent="0.3">
      <c r="A24" s="1"/>
    </row>
    <row r="25" spans="1:4" x14ac:dyDescent="0.3">
      <c r="A25" s="1"/>
    </row>
    <row r="26" spans="1:4" x14ac:dyDescent="0.3">
      <c r="A26" s="1"/>
    </row>
    <row r="27" spans="1:4" x14ac:dyDescent="0.3">
      <c r="A27" s="1"/>
    </row>
    <row r="28" spans="1:4" x14ac:dyDescent="0.3">
      <c r="A28" s="1"/>
    </row>
    <row r="29" spans="1:4" x14ac:dyDescent="0.3">
      <c r="A29" s="1"/>
    </row>
    <row r="30" spans="1:4" x14ac:dyDescent="0.3">
      <c r="A30" s="1"/>
    </row>
    <row r="31" spans="1:4" x14ac:dyDescent="0.3">
      <c r="A31" s="1"/>
    </row>
    <row r="32" spans="1:4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B1:D3"/>
  </mergeCells>
  <hyperlinks>
    <hyperlink ref="D13" r:id="rId1"/>
    <hyperlink ref="D14" r:id="rId2"/>
  </hyperlinks>
  <pageMargins left="0.7" right="0.7" top="0.75" bottom="0.75" header="0.3" footer="0.3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2">
    <tabColor theme="1" tint="0.499984740745262"/>
  </sheetPr>
  <dimension ref="A1:Z300"/>
  <sheetViews>
    <sheetView showGridLines="0" showRowColHeaders="0" workbookViewId="0"/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37.140625" style="2" customWidth="1"/>
    <col min="4" max="4" width="11.5703125" style="2" customWidth="1"/>
    <col min="5" max="5" width="14.28515625" style="2" customWidth="1"/>
    <col min="6" max="16384" width="11.42578125" style="2"/>
  </cols>
  <sheetData>
    <row r="1" spans="1:26" x14ac:dyDescent="0.3">
      <c r="A1" s="1"/>
      <c r="B1" s="81" t="s">
        <v>22</v>
      </c>
      <c r="C1" s="81"/>
      <c r="D1" s="8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81"/>
      <c r="C2" s="81"/>
      <c r="D2" s="8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81"/>
      <c r="C3" s="81"/>
      <c r="D3" s="8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11" t="s">
        <v>19</v>
      </c>
      <c r="D5" s="10" t="s">
        <v>20</v>
      </c>
      <c r="E5" s="10" t="s">
        <v>21</v>
      </c>
    </row>
    <row r="6" spans="1:26" x14ac:dyDescent="0.3">
      <c r="A6" s="1"/>
      <c r="C6" s="2" t="s">
        <v>199</v>
      </c>
      <c r="D6" s="43">
        <v>900</v>
      </c>
      <c r="E6" s="9">
        <v>0</v>
      </c>
    </row>
    <row r="7" spans="1:26" x14ac:dyDescent="0.3">
      <c r="A7" s="1"/>
      <c r="C7" s="2" t="s">
        <v>200</v>
      </c>
      <c r="D7" s="43">
        <v>50</v>
      </c>
      <c r="E7" s="9">
        <v>0.19</v>
      </c>
    </row>
    <row r="8" spans="1:26" x14ac:dyDescent="0.3">
      <c r="A8" s="1"/>
      <c r="C8" s="2" t="s">
        <v>201</v>
      </c>
      <c r="D8" s="43">
        <v>50</v>
      </c>
      <c r="E8" s="9">
        <v>0.19</v>
      </c>
    </row>
    <row r="9" spans="1:26" x14ac:dyDescent="0.3">
      <c r="A9" s="1"/>
      <c r="C9" s="2" t="s">
        <v>202</v>
      </c>
      <c r="D9" s="43">
        <v>12500</v>
      </c>
      <c r="E9" s="9">
        <v>0.19</v>
      </c>
    </row>
    <row r="10" spans="1:26" x14ac:dyDescent="0.3">
      <c r="A10" s="1"/>
      <c r="C10" s="2" t="s">
        <v>203</v>
      </c>
      <c r="D10" s="43">
        <v>25000</v>
      </c>
      <c r="E10" s="9">
        <v>0.19</v>
      </c>
    </row>
    <row r="11" spans="1:26" x14ac:dyDescent="0.3">
      <c r="A11" s="1"/>
      <c r="C11" s="2" t="s">
        <v>204</v>
      </c>
      <c r="D11" s="43">
        <v>7200</v>
      </c>
      <c r="E11" s="9">
        <v>0.19</v>
      </c>
    </row>
    <row r="12" spans="1:26" x14ac:dyDescent="0.3">
      <c r="A12" s="1"/>
      <c r="C12" s="2" t="s">
        <v>205</v>
      </c>
      <c r="D12" s="43">
        <v>7</v>
      </c>
      <c r="E12" s="9">
        <v>0.19</v>
      </c>
    </row>
    <row r="13" spans="1:26" x14ac:dyDescent="0.3">
      <c r="A13" s="1"/>
      <c r="C13" s="2" t="s">
        <v>208</v>
      </c>
      <c r="D13" s="43">
        <v>789</v>
      </c>
      <c r="E13" s="9">
        <v>0.19</v>
      </c>
    </row>
    <row r="14" spans="1:26" x14ac:dyDescent="0.3">
      <c r="A14" s="1"/>
      <c r="C14" s="2" t="s">
        <v>206</v>
      </c>
      <c r="D14" s="43">
        <v>12000</v>
      </c>
      <c r="E14" s="9">
        <v>0.19</v>
      </c>
    </row>
    <row r="15" spans="1:26" x14ac:dyDescent="0.3">
      <c r="A15" s="1"/>
      <c r="C15" s="2" t="s">
        <v>207</v>
      </c>
      <c r="D15" s="43">
        <v>3500</v>
      </c>
      <c r="E15" s="9">
        <v>0.19</v>
      </c>
    </row>
    <row r="16" spans="1:26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B1:D3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3">
    <tabColor rgb="FF92D050"/>
  </sheetPr>
  <dimension ref="A1:Z300"/>
  <sheetViews>
    <sheetView showGridLines="0" workbookViewId="0">
      <selection activeCell="C18" sqref="C18"/>
    </sheetView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27.7109375" style="2" customWidth="1"/>
    <col min="4" max="4" width="17.5703125" style="2" customWidth="1"/>
    <col min="5" max="5" width="11.7109375" style="2" customWidth="1"/>
    <col min="6" max="6" width="19.7109375" style="2" customWidth="1"/>
    <col min="7" max="7" width="21.28515625" style="2" customWidth="1"/>
    <col min="8" max="8" width="19.85546875" style="2" customWidth="1"/>
    <col min="9" max="9" width="15.42578125" style="2" customWidth="1"/>
    <col min="10" max="10" width="20" style="2" customWidth="1"/>
    <col min="11" max="11" width="22.42578125" style="2" customWidth="1"/>
    <col min="12" max="16384" width="11.42578125" style="2"/>
  </cols>
  <sheetData>
    <row r="1" spans="1:26" x14ac:dyDescent="0.3">
      <c r="A1" s="1"/>
      <c r="B1" s="81" t="s">
        <v>51</v>
      </c>
      <c r="C1" s="81"/>
      <c r="D1" s="8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81"/>
      <c r="C2" s="81"/>
      <c r="D2" s="8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81"/>
      <c r="C3" s="81"/>
      <c r="D3" s="8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11" t="s">
        <v>23</v>
      </c>
      <c r="D5" s="10" t="s">
        <v>24</v>
      </c>
      <c r="E5" s="10" t="s">
        <v>25</v>
      </c>
      <c r="F5" s="10" t="s">
        <v>5</v>
      </c>
      <c r="G5" s="10" t="s">
        <v>6</v>
      </c>
      <c r="H5" s="10" t="s">
        <v>8</v>
      </c>
      <c r="I5" s="10" t="s">
        <v>26</v>
      </c>
      <c r="J5" s="10" t="s">
        <v>27</v>
      </c>
      <c r="K5" s="10" t="s">
        <v>28</v>
      </c>
    </row>
    <row r="6" spans="1:26" x14ac:dyDescent="0.3">
      <c r="A6" s="1"/>
      <c r="C6" s="2" t="s">
        <v>89</v>
      </c>
      <c r="D6" s="2" t="s">
        <v>29</v>
      </c>
      <c r="E6" s="2">
        <v>23658</v>
      </c>
      <c r="F6" s="2" t="s">
        <v>13</v>
      </c>
      <c r="G6" s="2" t="s">
        <v>14</v>
      </c>
      <c r="H6" s="2">
        <v>1100963258</v>
      </c>
      <c r="I6" s="2">
        <v>3167858694</v>
      </c>
      <c r="J6" s="12">
        <v>15</v>
      </c>
      <c r="K6" s="2" t="s">
        <v>45</v>
      </c>
    </row>
    <row r="7" spans="1:26" x14ac:dyDescent="0.3">
      <c r="A7" s="1"/>
      <c r="C7" s="2" t="s">
        <v>191</v>
      </c>
      <c r="D7" s="2" t="s">
        <v>30</v>
      </c>
      <c r="E7" s="2">
        <v>1458</v>
      </c>
      <c r="F7" s="2" t="s">
        <v>38</v>
      </c>
      <c r="G7" s="2" t="s">
        <v>14</v>
      </c>
      <c r="H7" s="2">
        <v>5748796</v>
      </c>
      <c r="I7" s="2">
        <v>3178965412</v>
      </c>
      <c r="J7" s="12">
        <v>30</v>
      </c>
      <c r="K7" s="2" t="s">
        <v>46</v>
      </c>
    </row>
    <row r="8" spans="1:26" x14ac:dyDescent="0.3">
      <c r="A8" s="1"/>
      <c r="C8" s="2" t="s">
        <v>88</v>
      </c>
      <c r="D8" s="2" t="s">
        <v>31</v>
      </c>
      <c r="E8" s="2">
        <v>2147</v>
      </c>
      <c r="F8" s="2" t="s">
        <v>39</v>
      </c>
      <c r="G8" s="2" t="s">
        <v>14</v>
      </c>
      <c r="H8" s="2">
        <v>1100963258</v>
      </c>
      <c r="I8" s="2">
        <v>3168975124</v>
      </c>
      <c r="J8" s="12">
        <v>15</v>
      </c>
      <c r="K8" s="2" t="s">
        <v>47</v>
      </c>
    </row>
    <row r="9" spans="1:26" x14ac:dyDescent="0.3">
      <c r="A9" s="1"/>
      <c r="C9" s="2" t="s">
        <v>192</v>
      </c>
      <c r="D9" s="2" t="s">
        <v>32</v>
      </c>
      <c r="E9" s="2">
        <v>59842</v>
      </c>
      <c r="F9" s="2" t="s">
        <v>40</v>
      </c>
      <c r="G9" s="2" t="s">
        <v>14</v>
      </c>
      <c r="H9" s="2">
        <v>1100963258</v>
      </c>
      <c r="I9" s="2">
        <v>3201548798</v>
      </c>
      <c r="J9" s="12">
        <v>60</v>
      </c>
      <c r="K9" s="2" t="s">
        <v>48</v>
      </c>
    </row>
    <row r="10" spans="1:26" x14ac:dyDescent="0.3">
      <c r="A10" s="1"/>
      <c r="C10" s="2" t="s">
        <v>193</v>
      </c>
      <c r="D10" s="2" t="s">
        <v>33</v>
      </c>
      <c r="E10" s="2">
        <v>236985</v>
      </c>
      <c r="F10" s="2" t="s">
        <v>41</v>
      </c>
      <c r="G10" s="2" t="s">
        <v>14</v>
      </c>
      <c r="H10" s="2">
        <v>1100963258</v>
      </c>
      <c r="I10" s="2">
        <v>3202107013</v>
      </c>
      <c r="J10" s="12">
        <v>60</v>
      </c>
      <c r="K10" s="2" t="s">
        <v>49</v>
      </c>
    </row>
    <row r="11" spans="1:26" x14ac:dyDescent="0.3">
      <c r="A11" s="1"/>
      <c r="C11" s="2" t="s">
        <v>194</v>
      </c>
      <c r="D11" s="2" t="s">
        <v>34</v>
      </c>
      <c r="E11" s="2">
        <v>210329.4</v>
      </c>
      <c r="F11" s="2" t="s">
        <v>40</v>
      </c>
      <c r="G11" s="2" t="s">
        <v>14</v>
      </c>
      <c r="H11" s="2">
        <v>1100963258</v>
      </c>
      <c r="I11" s="2">
        <v>3211215015.4000001</v>
      </c>
      <c r="J11" s="12">
        <v>30</v>
      </c>
      <c r="K11" s="2" t="s">
        <v>50</v>
      </c>
    </row>
    <row r="12" spans="1:26" x14ac:dyDescent="0.3">
      <c r="A12" s="1"/>
      <c r="C12" s="2" t="s">
        <v>195</v>
      </c>
      <c r="D12" s="2" t="s">
        <v>35</v>
      </c>
      <c r="E12" s="2">
        <v>258833.2</v>
      </c>
      <c r="F12" s="2" t="s">
        <v>42</v>
      </c>
      <c r="G12" s="2" t="s">
        <v>14</v>
      </c>
      <c r="H12" s="2">
        <v>1100963258</v>
      </c>
      <c r="I12" s="2">
        <v>3220323017.8000002</v>
      </c>
      <c r="J12" s="12">
        <v>90</v>
      </c>
      <c r="K12" s="2" t="s">
        <v>46</v>
      </c>
    </row>
    <row r="13" spans="1:26" x14ac:dyDescent="0.3">
      <c r="A13" s="1"/>
      <c r="C13" s="2" t="s">
        <v>196</v>
      </c>
      <c r="D13" s="2" t="s">
        <v>32</v>
      </c>
      <c r="E13" s="2">
        <v>307337</v>
      </c>
      <c r="F13" s="2" t="s">
        <v>43</v>
      </c>
      <c r="G13" s="2" t="s">
        <v>14</v>
      </c>
      <c r="H13" s="2">
        <v>1466034745.3333299</v>
      </c>
      <c r="I13" s="2">
        <v>3229431020.1999998</v>
      </c>
      <c r="J13" s="12">
        <v>30</v>
      </c>
      <c r="K13" s="2" t="s">
        <v>46</v>
      </c>
    </row>
    <row r="14" spans="1:26" x14ac:dyDescent="0.3">
      <c r="A14" s="1"/>
      <c r="C14" s="2" t="s">
        <v>197</v>
      </c>
      <c r="D14" s="2" t="s">
        <v>36</v>
      </c>
      <c r="E14" s="2">
        <v>355840.8</v>
      </c>
      <c r="F14" s="2" t="s">
        <v>40</v>
      </c>
      <c r="G14" s="2" t="s">
        <v>14</v>
      </c>
      <c r="H14" s="2">
        <v>1622493954.19048</v>
      </c>
      <c r="I14" s="2">
        <v>3238539022.5999999</v>
      </c>
      <c r="J14" s="12">
        <v>90</v>
      </c>
      <c r="K14" s="2" t="s">
        <v>46</v>
      </c>
    </row>
    <row r="15" spans="1:26" x14ac:dyDescent="0.3">
      <c r="A15" s="1"/>
      <c r="C15" s="2" t="s">
        <v>198</v>
      </c>
      <c r="D15" s="2" t="s">
        <v>37</v>
      </c>
      <c r="E15" s="2">
        <v>404344.6</v>
      </c>
      <c r="F15" s="2" t="s">
        <v>44</v>
      </c>
      <c r="G15" s="2" t="s">
        <v>14</v>
      </c>
      <c r="H15" s="2">
        <v>1778953163.0476201</v>
      </c>
      <c r="I15" s="2">
        <v>3247647025</v>
      </c>
      <c r="J15" s="12">
        <v>15</v>
      </c>
      <c r="K15" s="2" t="s">
        <v>46</v>
      </c>
    </row>
    <row r="16" spans="1:26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B1:D3"/>
  </mergeCells>
  <dataValidations count="1">
    <dataValidation type="list" allowBlank="1" showInputMessage="1" showErrorMessage="1" sqref="J6:J15">
      <formula1>"15,30,60,90"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4">
    <tabColor theme="6" tint="-0.249977111117893"/>
  </sheetPr>
  <dimension ref="A1:X352"/>
  <sheetViews>
    <sheetView showRowColHeaders="0" topLeftCell="B1" workbookViewId="0">
      <selection activeCell="F21" sqref="F21"/>
    </sheetView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17.5703125" style="2" customWidth="1"/>
    <col min="4" max="4" width="20.5703125" style="2" customWidth="1"/>
    <col min="5" max="5" width="20" style="2" customWidth="1"/>
    <col min="6" max="6" width="11.28515625" style="2" customWidth="1"/>
    <col min="7" max="7" width="14.140625" style="2" customWidth="1"/>
    <col min="8" max="8" width="13" style="2" customWidth="1"/>
    <col min="9" max="9" width="11.42578125" style="2"/>
    <col min="10" max="10" width="15.28515625" style="2" customWidth="1"/>
    <col min="11" max="11" width="17.28515625" style="2" customWidth="1"/>
    <col min="12" max="12" width="18" style="2" customWidth="1"/>
    <col min="13" max="13" width="15" style="2" customWidth="1"/>
    <col min="14" max="15" width="14.28515625" style="2" customWidth="1"/>
    <col min="16" max="16" width="13.7109375" style="2" customWidth="1"/>
    <col min="17" max="17" width="8.7109375" style="2" customWidth="1"/>
    <col min="18" max="18" width="13.85546875" style="2" customWidth="1"/>
    <col min="19" max="19" width="17.140625" style="2" customWidth="1"/>
    <col min="20" max="20" width="13.5703125" style="2" customWidth="1"/>
    <col min="21" max="16384" width="11.42578125" style="2"/>
  </cols>
  <sheetData>
    <row r="1" spans="1:24" ht="16.5" customHeight="1" x14ac:dyDescent="0.3">
      <c r="A1" s="1"/>
      <c r="B1" s="83" t="s">
        <v>74</v>
      </c>
      <c r="C1" s="83"/>
      <c r="D1" s="83"/>
      <c r="E1" s="8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73"/>
      <c r="U1" s="73"/>
      <c r="V1" s="73"/>
      <c r="W1" s="73"/>
      <c r="X1" s="73"/>
    </row>
    <row r="2" spans="1:24" ht="16.5" customHeight="1" x14ac:dyDescent="0.3">
      <c r="A2" s="1"/>
      <c r="B2" s="83"/>
      <c r="C2" s="83"/>
      <c r="D2" s="83"/>
      <c r="E2" s="8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73"/>
      <c r="U2" s="73"/>
      <c r="V2" s="73"/>
      <c r="W2" s="73"/>
      <c r="X2" s="73"/>
    </row>
    <row r="3" spans="1:24" ht="16.5" customHeight="1" x14ac:dyDescent="0.3">
      <c r="A3" s="1"/>
      <c r="B3" s="66"/>
      <c r="C3" s="66"/>
      <c r="D3" s="66"/>
      <c r="E3" s="66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73"/>
      <c r="U3" s="73"/>
      <c r="V3" s="73"/>
      <c r="W3" s="73"/>
      <c r="X3" s="73"/>
    </row>
    <row r="4" spans="1:24" ht="16.5" customHeight="1" x14ac:dyDescent="0.3">
      <c r="A4" s="1"/>
      <c r="B4" s="69"/>
      <c r="C4" s="69"/>
      <c r="D4" s="69"/>
      <c r="E4" s="69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73"/>
      <c r="U4" s="73"/>
      <c r="V4" s="73"/>
      <c r="W4" s="73"/>
      <c r="X4" s="73"/>
    </row>
    <row r="5" spans="1:24" ht="16.5" customHeight="1" x14ac:dyDescent="0.3">
      <c r="A5" s="1"/>
      <c r="B5" s="69"/>
      <c r="C5" s="84" t="s">
        <v>220</v>
      </c>
      <c r="D5" s="84"/>
      <c r="E5" s="84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73"/>
      <c r="U5" s="73"/>
      <c r="V5" s="73"/>
      <c r="W5" s="73"/>
      <c r="X5" s="73"/>
    </row>
    <row r="6" spans="1:24" ht="16.5" customHeight="1" x14ac:dyDescent="0.3">
      <c r="A6" s="70"/>
      <c r="B6" s="71"/>
      <c r="C6" s="72" t="s">
        <v>53</v>
      </c>
      <c r="D6" s="85" t="s">
        <v>198</v>
      </c>
      <c r="E6" s="85"/>
      <c r="F6" s="21"/>
      <c r="G6" s="21" t="b">
        <v>0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73"/>
      <c r="U6" s="73"/>
      <c r="V6" s="73"/>
      <c r="W6" s="73"/>
      <c r="X6" s="73"/>
    </row>
    <row r="7" spans="1:24" ht="16.5" customHeight="1" x14ac:dyDescent="0.3">
      <c r="A7" s="1"/>
      <c r="B7" s="69"/>
      <c r="C7" s="72" t="s">
        <v>221</v>
      </c>
      <c r="D7" s="86">
        <v>43706</v>
      </c>
      <c r="E7" s="86"/>
      <c r="F7" s="21"/>
      <c r="G7" s="21"/>
      <c r="H7" s="21"/>
      <c r="I7" s="21"/>
      <c r="J7" s="21"/>
      <c r="K7" s="21"/>
      <c r="L7" s="76" t="s">
        <v>222</v>
      </c>
      <c r="M7" s="76" t="s">
        <v>223</v>
      </c>
      <c r="N7" s="21"/>
      <c r="O7" s="21"/>
      <c r="P7" s="21"/>
      <c r="Q7" s="21"/>
      <c r="R7" s="21"/>
      <c r="S7" s="21"/>
      <c r="T7" s="73"/>
      <c r="U7" s="73"/>
      <c r="V7" s="73"/>
      <c r="W7" s="73"/>
      <c r="X7" s="73"/>
    </row>
    <row r="8" spans="1:24" ht="16.5" customHeight="1" x14ac:dyDescent="0.3">
      <c r="A8" s="1"/>
      <c r="B8" s="69"/>
      <c r="C8" s="72" t="str">
        <f>IF(OR(NumeroAutomatico=TRUE,ISERROR(VLOOKUP(NFacturaManual,Tabla_lIngresos[N° Fac],1,FALSE))),"Factura N°","N° Ocupado")</f>
        <v>N° Ocupado</v>
      </c>
      <c r="D8" s="82">
        <v>13</v>
      </c>
      <c r="E8" s="82"/>
      <c r="F8" s="21"/>
      <c r="G8" s="74" t="s">
        <v>224</v>
      </c>
      <c r="H8" s="21"/>
      <c r="I8" s="21"/>
      <c r="J8" s="21"/>
      <c r="K8" s="21"/>
      <c r="L8" s="75">
        <f>MAX(Tabla_lIngresos[N° Fac])</f>
        <v>31.9</v>
      </c>
      <c r="M8" s="77">
        <f>MAX(Tabla_lIngresos[Fecha Fact])</f>
        <v>43689</v>
      </c>
      <c r="N8" s="21"/>
      <c r="O8" s="21"/>
      <c r="P8" s="21"/>
      <c r="Q8" s="21"/>
      <c r="R8" s="21"/>
      <c r="S8" s="21"/>
      <c r="T8" s="73"/>
      <c r="U8" s="73"/>
      <c r="V8" s="73"/>
      <c r="W8" s="73"/>
      <c r="X8" s="73"/>
    </row>
    <row r="9" spans="1:24" ht="15" customHeight="1" x14ac:dyDescent="0.3">
      <c r="A9" s="1"/>
      <c r="B9" s="20"/>
      <c r="C9" s="20"/>
      <c r="D9" s="20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73"/>
      <c r="U9" s="73"/>
      <c r="V9" s="73"/>
      <c r="W9" s="73"/>
      <c r="X9" s="73"/>
    </row>
    <row r="10" spans="1:24" x14ac:dyDescent="0.3">
      <c r="A10" s="1"/>
      <c r="C10" s="2" t="s">
        <v>52</v>
      </c>
      <c r="D10" s="2" t="s">
        <v>53</v>
      </c>
      <c r="E10" s="2" t="s">
        <v>19</v>
      </c>
      <c r="F10" s="2" t="s">
        <v>54</v>
      </c>
      <c r="G10" s="2" t="s">
        <v>20</v>
      </c>
      <c r="H10" s="2" t="s">
        <v>55</v>
      </c>
      <c r="I10" s="2" t="s">
        <v>56</v>
      </c>
      <c r="J10" s="2" t="s">
        <v>57</v>
      </c>
      <c r="K10" s="2" t="s">
        <v>58</v>
      </c>
      <c r="L10" s="2" t="s">
        <v>59</v>
      </c>
      <c r="M10" s="2" t="s">
        <v>65</v>
      </c>
      <c r="N10" s="2" t="s">
        <v>66</v>
      </c>
      <c r="O10" s="2" t="s">
        <v>67</v>
      </c>
      <c r="P10" s="2" t="s">
        <v>60</v>
      </c>
      <c r="Q10" s="2" t="s">
        <v>21</v>
      </c>
      <c r="R10" s="2" t="s">
        <v>63</v>
      </c>
      <c r="S10" s="2" t="s">
        <v>64</v>
      </c>
      <c r="T10" s="73"/>
      <c r="U10" s="73"/>
      <c r="V10" s="73"/>
      <c r="W10" s="73"/>
      <c r="X10" s="73"/>
    </row>
    <row r="11" spans="1:24" x14ac:dyDescent="0.3">
      <c r="A11" s="1"/>
      <c r="C11" s="14" t="s">
        <v>61</v>
      </c>
      <c r="D11" s="2" t="s">
        <v>198</v>
      </c>
      <c r="E11" s="2" t="s">
        <v>201</v>
      </c>
      <c r="F11" s="60">
        <v>125</v>
      </c>
      <c r="G11" s="43">
        <v>50</v>
      </c>
      <c r="H11" s="15">
        <v>8.9999999999999993E-3</v>
      </c>
      <c r="I11" s="17">
        <f>Tabla_lIngresos[[#This Row],[Precio /UD]]*Tabla_lIngresos[[#This Row],[%DC]]</f>
        <v>0.44999999999999996</v>
      </c>
      <c r="J11" s="17">
        <f>Tabla_lIngresos[[#This Row],[Precio /UD]]-Tabla_lIngresos[[#This Row],[Dto]]</f>
        <v>49.55</v>
      </c>
      <c r="K11" s="17">
        <f>Tabla_lIngresos[[#This Row],[Importe Ud]]*Tabla_lIngresos[[#This Row],[Cantidad]]</f>
        <v>6193.75</v>
      </c>
      <c r="L11" s="19">
        <v>13</v>
      </c>
      <c r="M11" s="13">
        <v>43647</v>
      </c>
      <c r="N11" s="12">
        <v>90</v>
      </c>
      <c r="O11" s="18">
        <f>IF(Tabla_lIngresos[[#This Row],[Fecha Fact]]="","",Tabla_lIngresos[[#This Row],[Fecha Fact]]+Tabla_lIngresos[[#This Row],[VenciMto]])</f>
        <v>43737</v>
      </c>
      <c r="P11" s="2" t="s">
        <v>49</v>
      </c>
      <c r="Q11" s="15">
        <v>0.19</v>
      </c>
      <c r="R11" s="17">
        <f>Tabla_lIngresos[[#This Row],[% IVA]]*Tabla_lIngresos[[#This Row],[TOTAL]]</f>
        <v>1176.8125</v>
      </c>
      <c r="S11" s="2" t="s">
        <v>71</v>
      </c>
      <c r="T11" s="73"/>
      <c r="U11" s="73"/>
      <c r="V11" s="73"/>
      <c r="W11" s="73"/>
      <c r="X11" s="73"/>
    </row>
    <row r="12" spans="1:24" x14ac:dyDescent="0.3">
      <c r="A12" s="1"/>
      <c r="C12" s="14">
        <v>43503</v>
      </c>
      <c r="D12" s="2" t="s">
        <v>191</v>
      </c>
      <c r="E12" s="2" t="s">
        <v>205</v>
      </c>
      <c r="F12" s="60">
        <v>458</v>
      </c>
      <c r="G12" s="43">
        <v>7</v>
      </c>
      <c r="H12" s="15">
        <v>0</v>
      </c>
      <c r="I12" s="17">
        <f>Tabla_lIngresos[[#This Row],[Precio /UD]]*Tabla_lIngresos[[#This Row],[%DC]]</f>
        <v>0</v>
      </c>
      <c r="J12" s="17">
        <f>Tabla_lIngresos[[#This Row],[Precio /UD]]-Tabla_lIngresos[[#This Row],[Dto]]</f>
        <v>7</v>
      </c>
      <c r="K12" s="17">
        <f>Tabla_lIngresos[[#This Row],[Importe Ud]]*Tabla_lIngresos[[#This Row],[Cantidad]]</f>
        <v>3206</v>
      </c>
      <c r="L12" s="19">
        <v>15.1</v>
      </c>
      <c r="M12" s="13">
        <v>43661</v>
      </c>
      <c r="N12" s="12">
        <v>60</v>
      </c>
      <c r="O12" s="18">
        <f>IF(Tabla_lIngresos[[#This Row],[Fecha Fact]]="","",Tabla_lIngresos[[#This Row],[Fecha Fact]]+Tabla_lIngresos[[#This Row],[VenciMto]])</f>
        <v>43721</v>
      </c>
      <c r="P12" s="2" t="s">
        <v>49</v>
      </c>
      <c r="Q12" s="15">
        <v>0.19</v>
      </c>
      <c r="R12" s="17">
        <f>Tabla_lIngresos[[#This Row],[% IVA]]*Tabla_lIngresos[[#This Row],[TOTAL]]</f>
        <v>609.14</v>
      </c>
      <c r="S12" s="2" t="s">
        <v>68</v>
      </c>
      <c r="T12" s="73"/>
      <c r="U12" s="73"/>
      <c r="V12" s="73"/>
      <c r="W12" s="73"/>
      <c r="X12" s="73"/>
    </row>
    <row r="13" spans="1:24" x14ac:dyDescent="0.3">
      <c r="A13" s="1"/>
      <c r="C13" s="14" t="s">
        <v>61</v>
      </c>
      <c r="D13" s="2" t="s">
        <v>192</v>
      </c>
      <c r="E13" s="2" t="s">
        <v>200</v>
      </c>
      <c r="F13" s="60">
        <v>126</v>
      </c>
      <c r="G13" s="43">
        <v>50</v>
      </c>
      <c r="H13" s="15">
        <v>0</v>
      </c>
      <c r="I13" s="17">
        <f>Tabla_lIngresos[[#This Row],[Precio /UD]]*Tabla_lIngresos[[#This Row],[%DC]]</f>
        <v>0</v>
      </c>
      <c r="J13" s="17">
        <f>Tabla_lIngresos[[#This Row],[Precio /UD]]-Tabla_lIngresos[[#This Row],[Dto]]</f>
        <v>50</v>
      </c>
      <c r="K13" s="17">
        <f>Tabla_lIngresos[[#This Row],[Importe Ud]]*Tabla_lIngresos[[#This Row],[Cantidad]]</f>
        <v>6300</v>
      </c>
      <c r="L13" s="19">
        <v>19.3</v>
      </c>
      <c r="M13" s="13">
        <v>43647</v>
      </c>
      <c r="N13" s="12">
        <v>90</v>
      </c>
      <c r="O13" s="18">
        <f>IF(Tabla_lIngresos[[#This Row],[Fecha Fact]]="","",Tabla_lIngresos[[#This Row],[Fecha Fact]]+Tabla_lIngresos[[#This Row],[VenciMto]])</f>
        <v>43737</v>
      </c>
      <c r="P13" s="2" t="s">
        <v>46</v>
      </c>
      <c r="Q13" s="15">
        <v>0.19</v>
      </c>
      <c r="R13" s="17">
        <f>Tabla_lIngresos[[#This Row],[% IVA]]*Tabla_lIngresos[[#This Row],[TOTAL]]</f>
        <v>1197</v>
      </c>
      <c r="S13" s="2" t="s">
        <v>73</v>
      </c>
      <c r="T13" s="73"/>
      <c r="U13" s="73"/>
      <c r="V13" s="73"/>
      <c r="W13" s="73"/>
      <c r="X13" s="73"/>
    </row>
    <row r="14" spans="1:24" x14ac:dyDescent="0.3">
      <c r="A14" s="1"/>
      <c r="C14" s="14">
        <v>43504</v>
      </c>
      <c r="D14" s="2" t="s">
        <v>89</v>
      </c>
      <c r="E14" s="2" t="s">
        <v>206</v>
      </c>
      <c r="F14" s="60">
        <v>96</v>
      </c>
      <c r="G14" s="43">
        <v>12000</v>
      </c>
      <c r="H14" s="15">
        <v>1.2E-2</v>
      </c>
      <c r="I14" s="17">
        <f>Tabla_lIngresos[[#This Row],[Precio /UD]]*Tabla_lIngresos[[#This Row],[%DC]]</f>
        <v>144</v>
      </c>
      <c r="J14" s="17">
        <f>Tabla_lIngresos[[#This Row],[Precio /UD]]-Tabla_lIngresos[[#This Row],[Dto]]</f>
        <v>11856</v>
      </c>
      <c r="K14" s="17">
        <f>Tabla_lIngresos[[#This Row],[Importe Ud]]*Tabla_lIngresos[[#This Row],[Cantidad]]</f>
        <v>1138176</v>
      </c>
      <c r="L14" s="19">
        <v>21.4</v>
      </c>
      <c r="M14" s="13">
        <v>43661</v>
      </c>
      <c r="N14" s="12">
        <v>60</v>
      </c>
      <c r="O14" s="18">
        <f>IF(Tabla_lIngresos[[#This Row],[Fecha Fact]]="","",Tabla_lIngresos[[#This Row],[Fecha Fact]]+Tabla_lIngresos[[#This Row],[VenciMto]])</f>
        <v>43721</v>
      </c>
      <c r="P14" s="2" t="s">
        <v>50</v>
      </c>
      <c r="Q14" s="15">
        <v>0.19</v>
      </c>
      <c r="R14" s="17">
        <f>Tabla_lIngresos[[#This Row],[% IVA]]*Tabla_lIngresos[[#This Row],[TOTAL]]</f>
        <v>216253.44</v>
      </c>
      <c r="S14" s="2" t="s">
        <v>73</v>
      </c>
      <c r="T14" s="73"/>
      <c r="U14" s="73"/>
      <c r="V14" s="73"/>
      <c r="W14" s="73"/>
      <c r="X14" s="73"/>
    </row>
    <row r="15" spans="1:24" x14ac:dyDescent="0.3">
      <c r="A15" s="1"/>
      <c r="C15" s="14" t="s">
        <v>62</v>
      </c>
      <c r="D15" s="2" t="s">
        <v>88</v>
      </c>
      <c r="E15" s="2" t="s">
        <v>204</v>
      </c>
      <c r="F15" s="60">
        <v>36</v>
      </c>
      <c r="G15" s="43">
        <v>7200</v>
      </c>
      <c r="H15" s="15">
        <v>1.4999999999999999E-2</v>
      </c>
      <c r="I15" s="17">
        <f>Tabla_lIngresos[[#This Row],[Precio /UD]]*Tabla_lIngresos[[#This Row],[%DC]]</f>
        <v>108</v>
      </c>
      <c r="J15" s="17">
        <f>Tabla_lIngresos[[#This Row],[Precio /UD]]-Tabla_lIngresos[[#This Row],[Dto]]</f>
        <v>7092</v>
      </c>
      <c r="K15" s="17">
        <f>Tabla_lIngresos[[#This Row],[Importe Ud]]*Tabla_lIngresos[[#This Row],[Cantidad]]</f>
        <v>255312</v>
      </c>
      <c r="L15" s="19">
        <v>23.5</v>
      </c>
      <c r="M15" s="13">
        <v>43689</v>
      </c>
      <c r="N15" s="12">
        <v>30</v>
      </c>
      <c r="O15" s="18">
        <f>IF(Tabla_lIngresos[[#This Row],[Fecha Fact]]="","",Tabla_lIngresos[[#This Row],[Fecha Fact]]+Tabla_lIngresos[[#This Row],[VenciMto]])</f>
        <v>43719</v>
      </c>
      <c r="P15" s="2" t="s">
        <v>50</v>
      </c>
      <c r="Q15" s="15">
        <v>0.19</v>
      </c>
      <c r="R15" s="17">
        <f>Tabla_lIngresos[[#This Row],[% IVA]]*Tabla_lIngresos[[#This Row],[TOTAL]]</f>
        <v>48509.279999999999</v>
      </c>
      <c r="S15" s="2" t="s">
        <v>73</v>
      </c>
      <c r="T15" s="73"/>
      <c r="U15" s="73"/>
      <c r="V15" s="73"/>
      <c r="W15" s="73"/>
      <c r="X15" s="73"/>
    </row>
    <row r="16" spans="1:24" x14ac:dyDescent="0.3">
      <c r="A16" s="1"/>
      <c r="C16" s="14" t="s">
        <v>61</v>
      </c>
      <c r="D16" s="2" t="s">
        <v>191</v>
      </c>
      <c r="E16" s="2" t="s">
        <v>207</v>
      </c>
      <c r="F16" s="60">
        <v>325</v>
      </c>
      <c r="G16" s="43">
        <v>3500</v>
      </c>
      <c r="H16" s="15">
        <v>0</v>
      </c>
      <c r="I16" s="17">
        <f>Tabla_lIngresos[[#This Row],[Precio /UD]]*Tabla_lIngresos[[#This Row],[%DC]]</f>
        <v>0</v>
      </c>
      <c r="J16" s="17">
        <f>Tabla_lIngresos[[#This Row],[Precio /UD]]-Tabla_lIngresos[[#This Row],[Dto]]</f>
        <v>3500</v>
      </c>
      <c r="K16" s="17">
        <f>Tabla_lIngresos[[#This Row],[Importe Ud]]*Tabla_lIngresos[[#This Row],[Cantidad]]</f>
        <v>1137500</v>
      </c>
      <c r="L16" s="19">
        <v>25.6</v>
      </c>
      <c r="M16" s="13">
        <v>43647</v>
      </c>
      <c r="N16" s="12">
        <v>60</v>
      </c>
      <c r="O16" s="18">
        <f>IF(Tabla_lIngresos[[#This Row],[Fecha Fact]]="","",Tabla_lIngresos[[#This Row],[Fecha Fact]]+Tabla_lIngresos[[#This Row],[VenciMto]])</f>
        <v>43707</v>
      </c>
      <c r="P16" s="2" t="s">
        <v>46</v>
      </c>
      <c r="Q16" s="15">
        <v>0.19</v>
      </c>
      <c r="R16" s="17">
        <f>Tabla_lIngresos[[#This Row],[% IVA]]*Tabla_lIngresos[[#This Row],[TOTAL]]</f>
        <v>216125</v>
      </c>
      <c r="S16" s="2" t="s">
        <v>70</v>
      </c>
      <c r="T16" s="73"/>
      <c r="U16" s="73"/>
      <c r="V16" s="73"/>
      <c r="W16" s="73"/>
      <c r="X16" s="73"/>
    </row>
    <row r="17" spans="1:24" x14ac:dyDescent="0.3">
      <c r="A17" s="1"/>
      <c r="C17" s="14">
        <v>43505</v>
      </c>
      <c r="D17" s="2" t="s">
        <v>194</v>
      </c>
      <c r="E17" s="2" t="s">
        <v>199</v>
      </c>
      <c r="F17" s="60">
        <v>3698</v>
      </c>
      <c r="G17" s="43">
        <v>900</v>
      </c>
      <c r="H17" s="15">
        <v>5.0000000000000001E-3</v>
      </c>
      <c r="I17" s="17">
        <f>Tabla_lIngresos[[#This Row],[Precio /UD]]*Tabla_lIngresos[[#This Row],[%DC]]</f>
        <v>4.5</v>
      </c>
      <c r="J17" s="17">
        <f>Tabla_lIngresos[[#This Row],[Precio /UD]]-Tabla_lIngresos[[#This Row],[Dto]]</f>
        <v>895.5</v>
      </c>
      <c r="K17" s="17">
        <f>Tabla_lIngresos[[#This Row],[Importe Ud]]*Tabla_lIngresos[[#This Row],[Cantidad]]</f>
        <v>3311559</v>
      </c>
      <c r="L17" s="19">
        <v>27.7</v>
      </c>
      <c r="M17" s="13">
        <v>43661</v>
      </c>
      <c r="N17" s="12">
        <v>90</v>
      </c>
      <c r="O17" s="18">
        <f>IF(Tabla_lIngresos[[#This Row],[Fecha Fact]]="","",Tabla_lIngresos[[#This Row],[Fecha Fact]]+Tabla_lIngresos[[#This Row],[VenciMto]])</f>
        <v>43751</v>
      </c>
      <c r="P17" s="2" t="s">
        <v>46</v>
      </c>
      <c r="Q17" s="15">
        <v>0.19</v>
      </c>
      <c r="R17" s="17">
        <f>Tabla_lIngresos[[#This Row],[% IVA]]*Tabla_lIngresos[[#This Row],[TOTAL]]</f>
        <v>629196.21</v>
      </c>
      <c r="S17" s="2" t="s">
        <v>70</v>
      </c>
      <c r="T17" s="73"/>
      <c r="U17" s="73"/>
      <c r="V17" s="73"/>
      <c r="W17" s="73"/>
      <c r="X17" s="73"/>
    </row>
    <row r="18" spans="1:24" x14ac:dyDescent="0.3">
      <c r="A18" s="1"/>
      <c r="C18" s="14" t="s">
        <v>61</v>
      </c>
      <c r="D18" s="2" t="s">
        <v>88</v>
      </c>
      <c r="E18" s="2" t="s">
        <v>201</v>
      </c>
      <c r="F18" s="60">
        <v>258</v>
      </c>
      <c r="G18" s="43">
        <v>50</v>
      </c>
      <c r="H18" s="15">
        <v>0</v>
      </c>
      <c r="I18" s="17">
        <f>Tabla_lIngresos[[#This Row],[Precio /UD]]*Tabla_lIngresos[[#This Row],[%DC]]</f>
        <v>0</v>
      </c>
      <c r="J18" s="17">
        <f>Tabla_lIngresos[[#This Row],[Precio /UD]]-Tabla_lIngresos[[#This Row],[Dto]]</f>
        <v>50</v>
      </c>
      <c r="K18" s="17">
        <f>Tabla_lIngresos[[#This Row],[Importe Ud]]*Tabla_lIngresos[[#This Row],[Cantidad]]</f>
        <v>12900</v>
      </c>
      <c r="L18" s="19">
        <v>31.9</v>
      </c>
      <c r="M18" s="13">
        <v>43647</v>
      </c>
      <c r="N18" s="12">
        <v>90</v>
      </c>
      <c r="O18" s="18">
        <f>IF(Tabla_lIngresos[[#This Row],[Fecha Fact]]="","",Tabla_lIngresos[[#This Row],[Fecha Fact]]+Tabla_lIngresos[[#This Row],[VenciMto]])</f>
        <v>43737</v>
      </c>
      <c r="P18" s="2" t="s">
        <v>46</v>
      </c>
      <c r="Q18" s="15">
        <v>0.19</v>
      </c>
      <c r="R18" s="17">
        <f>Tabla_lIngresos[[#This Row],[% IVA]]*Tabla_lIngresos[[#This Row],[TOTAL]]</f>
        <v>2451</v>
      </c>
      <c r="S18" s="2" t="s">
        <v>72</v>
      </c>
      <c r="T18" s="73"/>
      <c r="U18" s="73"/>
      <c r="V18" s="73"/>
      <c r="W18" s="73"/>
      <c r="X18" s="73"/>
    </row>
    <row r="19" spans="1:24" x14ac:dyDescent="0.3">
      <c r="A19" s="1"/>
      <c r="T19" s="73"/>
      <c r="U19" s="73"/>
      <c r="V19" s="73"/>
      <c r="W19" s="73"/>
      <c r="X19" s="73"/>
    </row>
    <row r="20" spans="1:24" x14ac:dyDescent="0.3">
      <c r="A20" s="1"/>
      <c r="T20" s="73"/>
      <c r="U20" s="73"/>
      <c r="V20" s="73"/>
      <c r="W20" s="73"/>
      <c r="X20" s="73"/>
    </row>
    <row r="21" spans="1:24" x14ac:dyDescent="0.3">
      <c r="A21" s="1"/>
      <c r="T21" s="73"/>
      <c r="U21" s="73"/>
      <c r="V21" s="73"/>
      <c r="W21" s="73"/>
      <c r="X21" s="73"/>
    </row>
    <row r="22" spans="1:24" x14ac:dyDescent="0.3">
      <c r="A22" s="1"/>
      <c r="T22" s="73"/>
      <c r="U22" s="73"/>
      <c r="V22" s="73"/>
      <c r="W22" s="73"/>
      <c r="X22" s="73"/>
    </row>
    <row r="23" spans="1:24" x14ac:dyDescent="0.3">
      <c r="A23" s="1"/>
      <c r="T23" s="73"/>
      <c r="U23" s="73"/>
      <c r="V23" s="73"/>
      <c r="W23" s="73"/>
      <c r="X23" s="73"/>
    </row>
    <row r="24" spans="1:24" x14ac:dyDescent="0.3">
      <c r="A24" s="1"/>
      <c r="T24" s="73"/>
      <c r="U24" s="73"/>
      <c r="V24" s="73"/>
      <c r="W24" s="73"/>
      <c r="X24" s="73"/>
    </row>
    <row r="25" spans="1:24" x14ac:dyDescent="0.3">
      <c r="A25" s="1"/>
      <c r="T25" s="73"/>
      <c r="U25" s="73"/>
      <c r="V25" s="73"/>
      <c r="W25" s="73"/>
      <c r="X25" s="73"/>
    </row>
    <row r="26" spans="1:24" x14ac:dyDescent="0.3">
      <c r="A26" s="1"/>
      <c r="T26" s="73"/>
      <c r="U26" s="73"/>
      <c r="V26" s="73"/>
      <c r="W26" s="73"/>
      <c r="X26" s="73"/>
    </row>
    <row r="27" spans="1:24" x14ac:dyDescent="0.3">
      <c r="A27" s="1"/>
      <c r="T27" s="73"/>
      <c r="U27" s="73"/>
      <c r="V27" s="73"/>
      <c r="W27" s="73"/>
      <c r="X27" s="73"/>
    </row>
    <row r="28" spans="1:24" x14ac:dyDescent="0.3">
      <c r="A28" s="1"/>
      <c r="T28" s="73"/>
      <c r="U28" s="73"/>
      <c r="V28" s="73"/>
      <c r="W28" s="73"/>
      <c r="X28" s="73"/>
    </row>
    <row r="29" spans="1:24" x14ac:dyDescent="0.3">
      <c r="A29" s="1"/>
      <c r="T29" s="73"/>
      <c r="U29" s="73"/>
      <c r="V29" s="73"/>
      <c r="W29" s="73"/>
      <c r="X29" s="73"/>
    </row>
    <row r="30" spans="1:24" x14ac:dyDescent="0.3">
      <c r="A30" s="1"/>
      <c r="T30" s="73"/>
      <c r="U30" s="73"/>
      <c r="V30" s="73"/>
      <c r="W30" s="73"/>
      <c r="X30" s="73"/>
    </row>
    <row r="31" spans="1:24" x14ac:dyDescent="0.3">
      <c r="A31" s="1"/>
      <c r="T31" s="73"/>
      <c r="U31" s="73"/>
      <c r="V31" s="73"/>
      <c r="W31" s="73"/>
      <c r="X31" s="73"/>
    </row>
    <row r="32" spans="1:24" x14ac:dyDescent="0.3">
      <c r="A32" s="1"/>
      <c r="T32" s="73"/>
      <c r="U32" s="73"/>
      <c r="V32" s="73"/>
      <c r="W32" s="73"/>
      <c r="X32" s="73"/>
    </row>
    <row r="33" spans="1:24" x14ac:dyDescent="0.3">
      <c r="A33" s="1"/>
      <c r="T33" s="73"/>
      <c r="U33" s="73"/>
      <c r="V33" s="73"/>
      <c r="W33" s="73"/>
      <c r="X33" s="73"/>
    </row>
    <row r="34" spans="1:24" x14ac:dyDescent="0.3">
      <c r="A34" s="1"/>
      <c r="T34" s="73"/>
      <c r="U34" s="73"/>
      <c r="V34" s="73"/>
      <c r="W34" s="73"/>
      <c r="X34" s="73"/>
    </row>
    <row r="35" spans="1:24" x14ac:dyDescent="0.3">
      <c r="A35" s="1"/>
      <c r="T35" s="73"/>
      <c r="U35" s="73"/>
      <c r="V35" s="73"/>
      <c r="W35" s="73"/>
      <c r="X35" s="73"/>
    </row>
    <row r="36" spans="1:24" x14ac:dyDescent="0.3">
      <c r="A36" s="1"/>
      <c r="T36" s="73"/>
      <c r="U36" s="73"/>
      <c r="V36" s="73"/>
      <c r="W36" s="73"/>
      <c r="X36" s="73"/>
    </row>
    <row r="37" spans="1:24" x14ac:dyDescent="0.3">
      <c r="A37" s="1"/>
      <c r="T37" s="73"/>
      <c r="U37" s="73"/>
      <c r="V37" s="73"/>
      <c r="W37" s="73"/>
      <c r="X37" s="73"/>
    </row>
    <row r="38" spans="1:24" x14ac:dyDescent="0.3">
      <c r="A38" s="1"/>
      <c r="T38" s="73"/>
      <c r="U38" s="73"/>
      <c r="V38" s="73"/>
      <c r="W38" s="73"/>
      <c r="X38" s="73"/>
    </row>
    <row r="39" spans="1:24" x14ac:dyDescent="0.3">
      <c r="A39" s="1"/>
      <c r="T39" s="73"/>
      <c r="U39" s="73"/>
      <c r="V39" s="73"/>
      <c r="W39" s="73"/>
      <c r="X39" s="73"/>
    </row>
    <row r="40" spans="1:24" x14ac:dyDescent="0.3">
      <c r="A40" s="1"/>
      <c r="T40" s="73"/>
      <c r="U40" s="73"/>
      <c r="V40" s="73"/>
      <c r="W40" s="73"/>
      <c r="X40" s="73"/>
    </row>
    <row r="41" spans="1:24" x14ac:dyDescent="0.3">
      <c r="A41" s="1"/>
      <c r="T41" s="73"/>
      <c r="U41" s="73"/>
      <c r="V41" s="73"/>
      <c r="W41" s="73"/>
      <c r="X41" s="73"/>
    </row>
    <row r="42" spans="1:24" x14ac:dyDescent="0.3">
      <c r="A42" s="1"/>
      <c r="T42" s="73"/>
      <c r="U42" s="73"/>
      <c r="V42" s="73"/>
      <c r="W42" s="73"/>
      <c r="X42" s="73"/>
    </row>
    <row r="43" spans="1:24" x14ac:dyDescent="0.3">
      <c r="A43" s="1"/>
      <c r="T43" s="73"/>
      <c r="U43" s="73"/>
      <c r="V43" s="73"/>
      <c r="W43" s="73"/>
      <c r="X43" s="73"/>
    </row>
    <row r="44" spans="1:24" x14ac:dyDescent="0.3">
      <c r="A44" s="1"/>
      <c r="T44" s="73"/>
      <c r="U44" s="73"/>
      <c r="V44" s="73"/>
      <c r="W44" s="73"/>
      <c r="X44" s="73"/>
    </row>
    <row r="45" spans="1:24" x14ac:dyDescent="0.3">
      <c r="A45" s="1"/>
      <c r="T45" s="73"/>
      <c r="U45" s="73"/>
      <c r="V45" s="73"/>
      <c r="W45" s="73"/>
      <c r="X45" s="73"/>
    </row>
    <row r="46" spans="1:24" x14ac:dyDescent="0.3">
      <c r="A46" s="1"/>
      <c r="T46" s="73"/>
      <c r="U46" s="73"/>
      <c r="V46" s="73"/>
      <c r="W46" s="73"/>
      <c r="X46" s="73"/>
    </row>
    <row r="47" spans="1:24" x14ac:dyDescent="0.3">
      <c r="A47" s="1"/>
      <c r="T47" s="73"/>
      <c r="U47" s="73"/>
      <c r="V47" s="73"/>
      <c r="W47" s="73"/>
      <c r="X47" s="73"/>
    </row>
    <row r="48" spans="1:24" x14ac:dyDescent="0.3">
      <c r="A48" s="1"/>
      <c r="T48" s="73"/>
      <c r="U48" s="73"/>
      <c r="V48" s="73"/>
      <c r="W48" s="73"/>
      <c r="X48" s="73"/>
    </row>
    <row r="49" spans="1:24" x14ac:dyDescent="0.3">
      <c r="A49" s="1"/>
      <c r="T49" s="73"/>
      <c r="U49" s="73"/>
      <c r="V49" s="73"/>
      <c r="W49" s="73"/>
      <c r="X49" s="73"/>
    </row>
    <row r="50" spans="1:24" x14ac:dyDescent="0.3">
      <c r="A50" s="1"/>
      <c r="T50" s="73"/>
      <c r="U50" s="73"/>
      <c r="V50" s="73"/>
      <c r="W50" s="73"/>
      <c r="X50" s="73"/>
    </row>
    <row r="51" spans="1:24" x14ac:dyDescent="0.3">
      <c r="A51" s="1"/>
      <c r="T51" s="73"/>
      <c r="U51" s="73"/>
      <c r="V51" s="73"/>
      <c r="W51" s="73"/>
      <c r="X51" s="73"/>
    </row>
    <row r="52" spans="1:24" x14ac:dyDescent="0.3">
      <c r="A52" s="1"/>
      <c r="T52" s="73"/>
      <c r="U52" s="73"/>
      <c r="V52" s="73"/>
      <c r="W52" s="73"/>
      <c r="X52" s="73"/>
    </row>
    <row r="53" spans="1:24" x14ac:dyDescent="0.3">
      <c r="A53" s="1"/>
      <c r="T53" s="73"/>
      <c r="U53" s="73"/>
      <c r="V53" s="73"/>
      <c r="W53" s="73"/>
      <c r="X53" s="73"/>
    </row>
    <row r="54" spans="1:24" x14ac:dyDescent="0.3">
      <c r="A54" s="1"/>
      <c r="T54" s="73"/>
      <c r="U54" s="73"/>
      <c r="V54" s="73"/>
      <c r="W54" s="73"/>
      <c r="X54" s="73"/>
    </row>
    <row r="55" spans="1:24" x14ac:dyDescent="0.3">
      <c r="A55" s="1"/>
      <c r="T55" s="73"/>
      <c r="U55" s="73"/>
      <c r="V55" s="73"/>
      <c r="W55" s="73"/>
      <c r="X55" s="73"/>
    </row>
    <row r="56" spans="1:24" x14ac:dyDescent="0.3">
      <c r="A56" s="1"/>
      <c r="T56" s="73"/>
      <c r="U56" s="73"/>
      <c r="V56" s="73"/>
      <c r="W56" s="73"/>
      <c r="X56" s="73"/>
    </row>
    <row r="57" spans="1:24" x14ac:dyDescent="0.3">
      <c r="A57" s="1"/>
    </row>
    <row r="58" spans="1:24" x14ac:dyDescent="0.3">
      <c r="A58" s="1"/>
    </row>
    <row r="59" spans="1:24" x14ac:dyDescent="0.3">
      <c r="A59" s="1"/>
    </row>
    <row r="60" spans="1:24" x14ac:dyDescent="0.3">
      <c r="A60" s="1"/>
    </row>
    <row r="61" spans="1:24" x14ac:dyDescent="0.3">
      <c r="A61" s="1"/>
    </row>
    <row r="62" spans="1:24" x14ac:dyDescent="0.3">
      <c r="A62" s="1"/>
    </row>
    <row r="63" spans="1:24" x14ac:dyDescent="0.3">
      <c r="A63" s="1"/>
    </row>
    <row r="64" spans="1:24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</sheetData>
  <mergeCells count="5">
    <mergeCell ref="D8:E8"/>
    <mergeCell ref="B1:E2"/>
    <mergeCell ref="C5:E5"/>
    <mergeCell ref="D6:E6"/>
    <mergeCell ref="D7:E7"/>
  </mergeCells>
  <conditionalFormatting sqref="C8:E8">
    <cfRule type="expression" dxfId="0" priority="1">
      <formula>$G$6=TRUE</formula>
    </cfRule>
  </conditionalFormatting>
  <dataValidations count="5">
    <dataValidation type="list" allowBlank="1" showInputMessage="1" showErrorMessage="1" sqref="D6 D11:D18">
      <formula1>ListaClientes</formula1>
    </dataValidation>
    <dataValidation type="list" allowBlank="1" showInputMessage="1" showErrorMessage="1" sqref="E11:E18">
      <formula1>ListaProductos</formula1>
    </dataValidation>
    <dataValidation type="list" allowBlank="1" showInputMessage="1" showErrorMessage="1" sqref="N11:N18">
      <formula1>"15,30,60,90"</formula1>
    </dataValidation>
    <dataValidation type="list" allowBlank="1" showInputMessage="1" showErrorMessage="1" sqref="P11:P18">
      <formula1>ListaFormasDePago</formula1>
    </dataValidation>
    <dataValidation type="list" allowBlank="1" showInputMessage="1" showErrorMessage="1" sqref="S11:S18">
      <formula1>"Pagado,Sin Enviar,Enviado,Cliente Avisado,Recibido Pagare,En Mora,Cobro Juridico"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defaultSize="0" autoFill="0" autoLine="0" autoPict="0">
                <anchor moveWithCells="1">
                  <from>
                    <xdr:col>6</xdr:col>
                    <xdr:colOff>38100</xdr:colOff>
                    <xdr:row>6</xdr:row>
                    <xdr:rowOff>200025</xdr:rowOff>
                  </from>
                  <to>
                    <xdr:col>6</xdr:col>
                    <xdr:colOff>247650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5">
    <tabColor theme="0"/>
    <pageSetUpPr fitToPage="1"/>
  </sheetPr>
  <dimension ref="A1:AA300"/>
  <sheetViews>
    <sheetView showGridLines="0" topLeftCell="A5" zoomScaleNormal="100" workbookViewId="0">
      <selection activeCell="C22" sqref="C22"/>
    </sheetView>
  </sheetViews>
  <sheetFormatPr baseColWidth="10" defaultRowHeight="17.25" x14ac:dyDescent="0.3"/>
  <cols>
    <col min="1" max="1" width="10.7109375" style="26" customWidth="1"/>
    <col min="2" max="2" width="1.7109375" style="26" customWidth="1"/>
    <col min="3" max="3" width="29.85546875" style="26" customWidth="1"/>
    <col min="4" max="4" width="26" style="26" customWidth="1"/>
    <col min="5" max="5" width="15" style="26" customWidth="1"/>
    <col min="6" max="6" width="24.5703125" style="26" customWidth="1"/>
    <col min="7" max="7" width="19.140625" style="26" customWidth="1"/>
    <col min="8" max="8" width="28.85546875" style="26" customWidth="1"/>
    <col min="9" max="9" width="8.85546875" style="26" hidden="1" customWidth="1"/>
    <col min="10" max="10" width="1.5703125" style="56" customWidth="1"/>
    <col min="11" max="11" width="2.7109375" style="26" customWidth="1"/>
    <col min="12" max="12" width="11.42578125" style="26" customWidth="1"/>
    <col min="13" max="16384" width="11.42578125" style="26"/>
  </cols>
  <sheetData>
    <row r="1" spans="1:27" x14ac:dyDescent="0.3">
      <c r="A1" s="52"/>
      <c r="B1" s="104" t="str">
        <f>"FACTURA N°: "&amp;D13</f>
        <v>FACTURA N°: 2</v>
      </c>
      <c r="C1" s="104"/>
      <c r="D1" s="104"/>
      <c r="E1" s="52"/>
      <c r="F1" s="52"/>
      <c r="G1" s="52"/>
      <c r="H1" s="52"/>
      <c r="I1" s="52"/>
      <c r="J1" s="53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</row>
    <row r="2" spans="1:27" x14ac:dyDescent="0.3">
      <c r="A2" s="52"/>
      <c r="B2" s="104"/>
      <c r="C2" s="104"/>
      <c r="D2" s="104"/>
      <c r="E2" s="52"/>
      <c r="F2" s="52"/>
      <c r="G2" s="52"/>
      <c r="H2" s="52"/>
      <c r="I2" s="52"/>
      <c r="J2" s="54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</row>
    <row r="3" spans="1:27" ht="13.5" customHeight="1" x14ac:dyDescent="0.3">
      <c r="A3" s="52"/>
      <c r="B3" s="104"/>
      <c r="C3" s="104"/>
      <c r="D3" s="104"/>
      <c r="E3" s="52"/>
      <c r="F3" s="52"/>
      <c r="G3" s="52"/>
      <c r="H3" s="52"/>
      <c r="I3" s="52"/>
      <c r="J3" s="54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</row>
    <row r="4" spans="1:27" ht="17.25" hidden="1" customHeight="1" x14ac:dyDescent="0.3">
      <c r="A4" s="52"/>
      <c r="C4" s="55"/>
      <c r="K4" s="52"/>
    </row>
    <row r="5" spans="1:27" ht="51" customHeight="1" x14ac:dyDescent="0.3">
      <c r="A5" s="52"/>
      <c r="C5" s="55" t="s">
        <v>84</v>
      </c>
      <c r="K5" s="52"/>
    </row>
    <row r="6" spans="1:27" x14ac:dyDescent="0.3">
      <c r="A6" s="52"/>
      <c r="C6" s="25" t="str">
        <f>"Dir: "&amp;Config!D8</f>
        <v>Dir: carrera5#14-56</v>
      </c>
      <c r="D6" s="25" t="str">
        <f>"C.Postal: "&amp;Config!D7</f>
        <v>C.Postal: 5746</v>
      </c>
      <c r="F6" s="27" t="str">
        <f>"FACTURA N°: "&amp;D13</f>
        <v>FACTURA N°: 2</v>
      </c>
      <c r="G6" s="25"/>
      <c r="H6" s="25" t="e">
        <f>"Fecha: "&amp;TEXT(VLOOKUP(D13,Tabla_lIngresos[[N° Fac]:[Fecha Fact]],2,FALSE),"dd/mmm/yyy")</f>
        <v>#N/A</v>
      </c>
      <c r="K6" s="52"/>
    </row>
    <row r="7" spans="1:27" x14ac:dyDescent="0.3">
      <c r="A7" s="52"/>
      <c r="C7" s="25" t="str">
        <f>"Ciudad "&amp;Config!D9</f>
        <v>Ciudad Santander</v>
      </c>
      <c r="D7" s="25" t="str">
        <f>"Pais: "&amp;Config!D10</f>
        <v>Pais: Colombia</v>
      </c>
      <c r="F7" s="105" t="e">
        <f>INDEX(Ingresos!D11:D18,MATCH(FacEmitida!D13,Ingresos!L11:L18,0))</f>
        <v>#N/A</v>
      </c>
      <c r="G7" s="101"/>
      <c r="H7" s="102"/>
      <c r="K7" s="52"/>
    </row>
    <row r="8" spans="1:27" x14ac:dyDescent="0.3">
      <c r="A8" s="52"/>
      <c r="C8" s="25" t="str">
        <f>"Tel: "&amp;Config!D11</f>
        <v>Tel: 3153480459</v>
      </c>
      <c r="D8" s="25" t="str">
        <f>"Nit: "&amp;Config!D12</f>
        <v>Nit: 900271890-5</v>
      </c>
      <c r="F8" s="100" t="e">
        <f>"DIRECCION: "&amp;VLOOKUP(F7,TablaClientes[[Clientes]:[Direccion]],2,FALSE)</f>
        <v>#N/A</v>
      </c>
      <c r="G8" s="102"/>
      <c r="H8" s="25" t="e">
        <f>"CODIGO POS: "&amp;VLOOKUP(F7,TablaClientes[[Clientes]:[C.P]],3,FALSE)</f>
        <v>#N/A</v>
      </c>
      <c r="K8" s="52"/>
    </row>
    <row r="9" spans="1:27" x14ac:dyDescent="0.3">
      <c r="A9" s="52"/>
      <c r="C9" s="100" t="str">
        <f>Config!D13</f>
        <v>kaliersas.360@gmail.com</v>
      </c>
      <c r="D9" s="102"/>
      <c r="F9" s="100" t="e">
        <f>VLOOKUP(F7,TablaClientes[[Clientes]:[Población]],4,FALSE)</f>
        <v>#N/A</v>
      </c>
      <c r="G9" s="102"/>
      <c r="H9" s="25" t="e">
        <f>"PAIS : "&amp;VLOOKUP(F7,TablaClientes[[Clientes]:[Pais]],5,FALSE)</f>
        <v>#N/A</v>
      </c>
      <c r="K9" s="52"/>
    </row>
    <row r="10" spans="1:27" x14ac:dyDescent="0.3">
      <c r="A10" s="52"/>
      <c r="C10" s="100" t="str">
        <f>Config!D14</f>
        <v>www.parcelar.co</v>
      </c>
      <c r="D10" s="102"/>
      <c r="F10" s="100" t="e">
        <f>"TEL: "&amp;VLOOKUP(F7,TablaClientes[[Clientes]:[Telefono]],7,FALSE)</f>
        <v>#N/A</v>
      </c>
      <c r="G10" s="102"/>
      <c r="H10" s="25" t="e">
        <f>"NIT/CC: "&amp;VLOOKUP(F7,TablaClientes[[Clientes]:[CC/NIT]],6,FALSE)</f>
        <v>#N/A</v>
      </c>
      <c r="K10" s="52"/>
    </row>
    <row r="11" spans="1:27" x14ac:dyDescent="0.3">
      <c r="A11" s="52"/>
      <c r="K11" s="52"/>
    </row>
    <row r="12" spans="1:27" x14ac:dyDescent="0.3">
      <c r="A12" s="52"/>
      <c r="C12" s="25" t="s">
        <v>90</v>
      </c>
      <c r="D12" s="100" t="e">
        <f>VLOOKUP(D13,Ingresos!L10:P18,5,FALSE)</f>
        <v>#N/A</v>
      </c>
      <c r="E12" s="101"/>
      <c r="F12" s="102"/>
      <c r="G12" s="25" t="s">
        <v>91</v>
      </c>
      <c r="H12" s="31" t="e">
        <f>VLOOKUP(D13,Ingresos!L10:P18,4,FALSE)</f>
        <v>#N/A</v>
      </c>
      <c r="K12" s="52"/>
    </row>
    <row r="13" spans="1:27" x14ac:dyDescent="0.3">
      <c r="A13" s="52"/>
      <c r="C13" s="64" t="s">
        <v>59</v>
      </c>
      <c r="D13" s="61">
        <v>2</v>
      </c>
      <c r="K13" s="52"/>
    </row>
    <row r="14" spans="1:27" x14ac:dyDescent="0.3">
      <c r="A14" s="52"/>
      <c r="C14" s="29" t="s">
        <v>19</v>
      </c>
      <c r="D14" s="29" t="s">
        <v>54</v>
      </c>
      <c r="E14" s="29" t="s">
        <v>75</v>
      </c>
      <c r="F14" s="29" t="s">
        <v>56</v>
      </c>
      <c r="G14" s="29" t="s">
        <v>76</v>
      </c>
      <c r="H14" s="29" t="s">
        <v>77</v>
      </c>
      <c r="K14" s="52"/>
    </row>
    <row r="15" spans="1:27" hidden="1" x14ac:dyDescent="0.3">
      <c r="A15" s="52"/>
      <c r="C15" s="28" t="s">
        <v>78</v>
      </c>
      <c r="D15" s="30" t="s">
        <v>79</v>
      </c>
      <c r="E15" s="30" t="s">
        <v>80</v>
      </c>
      <c r="F15" s="30" t="s">
        <v>81</v>
      </c>
      <c r="G15" s="30" t="s">
        <v>82</v>
      </c>
      <c r="H15" s="30" t="s">
        <v>83</v>
      </c>
      <c r="K15" s="52"/>
    </row>
    <row r="16" spans="1:27" x14ac:dyDescent="0.3">
      <c r="A16" s="52"/>
      <c r="C16" s="59" t="s">
        <v>203</v>
      </c>
      <c r="D16" s="62">
        <v>5</v>
      </c>
      <c r="E16" s="65">
        <v>25000</v>
      </c>
      <c r="F16" s="63">
        <v>0</v>
      </c>
      <c r="G16" s="63">
        <v>25000</v>
      </c>
      <c r="H16" s="63">
        <v>125000</v>
      </c>
      <c r="K16" s="52"/>
    </row>
    <row r="17" spans="1:11" x14ac:dyDescent="0.3">
      <c r="A17" s="52"/>
      <c r="C17"/>
      <c r="D17"/>
      <c r="E17"/>
      <c r="F17"/>
      <c r="G17"/>
      <c r="H17"/>
      <c r="K17" s="52"/>
    </row>
    <row r="18" spans="1:11" x14ac:dyDescent="0.3">
      <c r="A18" s="52"/>
      <c r="D18"/>
      <c r="E18"/>
      <c r="F18"/>
      <c r="G18"/>
      <c r="H18"/>
      <c r="K18" s="52"/>
    </row>
    <row r="19" spans="1:11" x14ac:dyDescent="0.3">
      <c r="A19" s="52"/>
      <c r="C19"/>
      <c r="D19"/>
      <c r="E19"/>
      <c r="F19"/>
      <c r="G19"/>
      <c r="H19"/>
      <c r="K19" s="52"/>
    </row>
    <row r="20" spans="1:11" x14ac:dyDescent="0.3">
      <c r="A20" s="52"/>
      <c r="C20"/>
      <c r="D20"/>
      <c r="E20"/>
      <c r="F20"/>
      <c r="G20"/>
      <c r="H20"/>
      <c r="K20" s="52"/>
    </row>
    <row r="21" spans="1:11" x14ac:dyDescent="0.3">
      <c r="A21" s="52"/>
      <c r="C21"/>
      <c r="D21"/>
      <c r="E21"/>
      <c r="F21"/>
      <c r="G21"/>
      <c r="H21"/>
      <c r="K21" s="52"/>
    </row>
    <row r="22" spans="1:11" x14ac:dyDescent="0.3">
      <c r="A22" s="52"/>
      <c r="C22" s="30"/>
      <c r="D22" s="30"/>
      <c r="E22" s="30"/>
      <c r="F22" s="30"/>
      <c r="G22" s="30"/>
      <c r="H22" s="30"/>
      <c r="K22" s="52"/>
    </row>
    <row r="23" spans="1:11" x14ac:dyDescent="0.3">
      <c r="A23" s="52"/>
      <c r="C23" s="30"/>
      <c r="D23" s="30"/>
      <c r="E23" s="30"/>
      <c r="F23" s="30"/>
      <c r="G23" s="30"/>
      <c r="H23" s="30"/>
      <c r="K23" s="52"/>
    </row>
    <row r="24" spans="1:11" x14ac:dyDescent="0.3">
      <c r="A24" s="52"/>
      <c r="C24" s="30"/>
      <c r="D24" s="30"/>
      <c r="E24" s="30"/>
      <c r="F24" s="30"/>
      <c r="G24" s="30"/>
      <c r="H24" s="30"/>
      <c r="K24" s="52"/>
    </row>
    <row r="25" spans="1:11" x14ac:dyDescent="0.3">
      <c r="A25" s="52"/>
      <c r="C25" s="30"/>
      <c r="D25" s="30"/>
      <c r="E25" s="30"/>
      <c r="K25" s="52"/>
    </row>
    <row r="26" spans="1:11" x14ac:dyDescent="0.3">
      <c r="A26" s="52"/>
      <c r="C26" s="30"/>
      <c r="D26" s="30"/>
      <c r="E26" s="30"/>
      <c r="K26" s="52"/>
    </row>
    <row r="27" spans="1:11" x14ac:dyDescent="0.3">
      <c r="A27" s="52"/>
      <c r="C27" s="30"/>
      <c r="D27" s="30"/>
      <c r="E27" s="30"/>
      <c r="K27" s="52"/>
    </row>
    <row r="28" spans="1:11" x14ac:dyDescent="0.3">
      <c r="A28" s="52"/>
      <c r="C28" s="30"/>
      <c r="D28" s="30"/>
      <c r="E28" s="30"/>
      <c r="K28" s="52"/>
    </row>
    <row r="29" spans="1:11" x14ac:dyDescent="0.3">
      <c r="A29" s="52"/>
      <c r="C29" s="30"/>
      <c r="D29" s="30"/>
      <c r="E29" s="30"/>
      <c r="K29" s="52"/>
    </row>
    <row r="30" spans="1:11" x14ac:dyDescent="0.3">
      <c r="A30" s="52"/>
      <c r="C30" s="30"/>
      <c r="D30" s="30"/>
      <c r="E30" s="30"/>
      <c r="K30" s="52"/>
    </row>
    <row r="31" spans="1:11" x14ac:dyDescent="0.3">
      <c r="A31" s="52"/>
      <c r="C31" s="30"/>
      <c r="D31" s="30"/>
      <c r="E31" s="30"/>
      <c r="K31" s="52"/>
    </row>
    <row r="32" spans="1:11" x14ac:dyDescent="0.3">
      <c r="A32" s="52"/>
      <c r="C32" s="30"/>
      <c r="D32" s="30"/>
      <c r="E32" s="30"/>
      <c r="K32" s="52"/>
    </row>
    <row r="33" spans="1:11" x14ac:dyDescent="0.3">
      <c r="A33" s="52"/>
      <c r="K33" s="52"/>
    </row>
    <row r="34" spans="1:11" x14ac:dyDescent="0.3">
      <c r="A34" s="52"/>
      <c r="K34" s="52"/>
    </row>
    <row r="35" spans="1:11" x14ac:dyDescent="0.3">
      <c r="A35" s="52"/>
      <c r="K35" s="52"/>
    </row>
    <row r="36" spans="1:11" x14ac:dyDescent="0.3">
      <c r="A36" s="52"/>
      <c r="K36" s="52"/>
    </row>
    <row r="37" spans="1:11" x14ac:dyDescent="0.3">
      <c r="A37" s="52"/>
      <c r="K37" s="52"/>
    </row>
    <row r="38" spans="1:11" x14ac:dyDescent="0.3">
      <c r="A38" s="52"/>
      <c r="K38" s="52"/>
    </row>
    <row r="39" spans="1:11" x14ac:dyDescent="0.3">
      <c r="A39" s="52"/>
      <c r="K39" s="52"/>
    </row>
    <row r="40" spans="1:11" x14ac:dyDescent="0.3">
      <c r="A40" s="52"/>
      <c r="K40" s="52"/>
    </row>
    <row r="41" spans="1:11" x14ac:dyDescent="0.3">
      <c r="A41" s="52"/>
      <c r="K41" s="52"/>
    </row>
    <row r="42" spans="1:11" x14ac:dyDescent="0.3">
      <c r="A42" s="52"/>
      <c r="K42" s="52"/>
    </row>
    <row r="43" spans="1:11" x14ac:dyDescent="0.3">
      <c r="A43" s="52"/>
      <c r="K43" s="52"/>
    </row>
    <row r="44" spans="1:11" x14ac:dyDescent="0.3">
      <c r="A44" s="52"/>
      <c r="K44" s="52"/>
    </row>
    <row r="45" spans="1:11" x14ac:dyDescent="0.3">
      <c r="A45" s="52"/>
      <c r="K45" s="52"/>
    </row>
    <row r="46" spans="1:11" x14ac:dyDescent="0.3">
      <c r="A46" s="52"/>
      <c r="K46" s="52"/>
    </row>
    <row r="47" spans="1:11" x14ac:dyDescent="0.3">
      <c r="A47" s="52"/>
      <c r="K47" s="52"/>
    </row>
    <row r="48" spans="1:11" x14ac:dyDescent="0.3">
      <c r="A48" s="52"/>
      <c r="K48" s="52"/>
    </row>
    <row r="49" spans="1:11" x14ac:dyDescent="0.3">
      <c r="A49" s="52"/>
      <c r="K49" s="52"/>
    </row>
    <row r="50" spans="1:11" x14ac:dyDescent="0.3">
      <c r="A50" s="52"/>
      <c r="K50" s="52"/>
    </row>
    <row r="51" spans="1:11" x14ac:dyDescent="0.3">
      <c r="A51" s="52"/>
      <c r="K51" s="52"/>
    </row>
    <row r="52" spans="1:11" x14ac:dyDescent="0.3">
      <c r="A52" s="52"/>
      <c r="K52" s="52"/>
    </row>
    <row r="53" spans="1:11" x14ac:dyDescent="0.3">
      <c r="A53" s="52"/>
      <c r="K53" s="52"/>
    </row>
    <row r="54" spans="1:11" x14ac:dyDescent="0.3">
      <c r="A54" s="52"/>
      <c r="K54" s="52"/>
    </row>
    <row r="55" spans="1:11" x14ac:dyDescent="0.3">
      <c r="A55" s="52"/>
      <c r="K55" s="52"/>
    </row>
    <row r="56" spans="1:11" x14ac:dyDescent="0.3">
      <c r="A56" s="52"/>
      <c r="K56" s="52"/>
    </row>
    <row r="57" spans="1:11" x14ac:dyDescent="0.3">
      <c r="A57" s="52"/>
      <c r="K57" s="52"/>
    </row>
    <row r="58" spans="1:11" x14ac:dyDescent="0.3">
      <c r="A58" s="52"/>
      <c r="K58" s="52"/>
    </row>
    <row r="59" spans="1:11" x14ac:dyDescent="0.3">
      <c r="A59" s="52"/>
      <c r="K59" s="52"/>
    </row>
    <row r="60" spans="1:11" x14ac:dyDescent="0.3">
      <c r="A60" s="52"/>
      <c r="K60" s="52"/>
    </row>
    <row r="61" spans="1:11" x14ac:dyDescent="0.3">
      <c r="A61" s="52"/>
      <c r="K61" s="52"/>
    </row>
    <row r="62" spans="1:11" x14ac:dyDescent="0.3">
      <c r="A62" s="52"/>
      <c r="K62" s="52"/>
    </row>
    <row r="63" spans="1:11" x14ac:dyDescent="0.3">
      <c r="A63" s="52"/>
      <c r="K63" s="52"/>
    </row>
    <row r="64" spans="1:11" x14ac:dyDescent="0.3">
      <c r="A64" s="52"/>
      <c r="K64" s="52"/>
    </row>
    <row r="65" spans="1:11" x14ac:dyDescent="0.3">
      <c r="A65" s="52"/>
      <c r="K65" s="52"/>
    </row>
    <row r="66" spans="1:11" x14ac:dyDescent="0.3">
      <c r="A66" s="52"/>
      <c r="C66" s="57" t="s">
        <v>87</v>
      </c>
      <c r="D66" s="103" t="s">
        <v>85</v>
      </c>
      <c r="E66" s="103"/>
      <c r="F66" s="57" t="s">
        <v>86</v>
      </c>
      <c r="G66" s="103" t="s">
        <v>58</v>
      </c>
      <c r="H66" s="103"/>
      <c r="K66" s="52"/>
    </row>
    <row r="67" spans="1:11" x14ac:dyDescent="0.3">
      <c r="A67" s="52"/>
      <c r="C67" s="87">
        <f>SUMIF(Ingresos!L11:L18,FacEmitida!D13,Ingresos!K11:K18)</f>
        <v>0</v>
      </c>
      <c r="D67" s="90">
        <f>SUMIF(Ingresos!L11:L18,FacEmitida!D13,Ingresos!R11:R18)</f>
        <v>0</v>
      </c>
      <c r="E67" s="91"/>
      <c r="F67" s="90" t="e">
        <f>SUMIF(Ingresos!L11:L18,FacEmitida!D13,Ingresos!#REF!)</f>
        <v>#REF!</v>
      </c>
      <c r="G67" s="96" t="e">
        <f>C67+D67-F67</f>
        <v>#REF!</v>
      </c>
      <c r="H67" s="97"/>
      <c r="K67" s="52"/>
    </row>
    <row r="68" spans="1:11" x14ac:dyDescent="0.3">
      <c r="A68" s="52"/>
      <c r="C68" s="88"/>
      <c r="D68" s="92"/>
      <c r="E68" s="93"/>
      <c r="F68" s="92"/>
      <c r="G68" s="92"/>
      <c r="H68" s="98"/>
      <c r="K68" s="52"/>
    </row>
    <row r="69" spans="1:11" x14ac:dyDescent="0.3">
      <c r="A69" s="52"/>
      <c r="C69" s="89"/>
      <c r="D69" s="94"/>
      <c r="E69" s="95"/>
      <c r="F69" s="94"/>
      <c r="G69" s="94"/>
      <c r="H69" s="99"/>
      <c r="K69" s="52"/>
    </row>
    <row r="70" spans="1:11" x14ac:dyDescent="0.3">
      <c r="A70" s="52"/>
      <c r="B70" s="58"/>
      <c r="C70" s="58"/>
      <c r="D70" s="58"/>
      <c r="E70" s="58"/>
      <c r="F70" s="58"/>
      <c r="G70" s="58"/>
      <c r="H70" s="58"/>
      <c r="I70" s="58"/>
      <c r="K70" s="52"/>
    </row>
    <row r="71" spans="1:11" x14ac:dyDescent="0.3">
      <c r="A71" s="52"/>
      <c r="B71" s="52"/>
      <c r="C71" s="52"/>
      <c r="D71" s="52"/>
      <c r="E71" s="52"/>
      <c r="F71" s="52"/>
      <c r="G71" s="52"/>
      <c r="H71" s="52"/>
      <c r="I71" s="52"/>
      <c r="J71" s="53"/>
      <c r="K71" s="52"/>
    </row>
    <row r="72" spans="1:11" x14ac:dyDescent="0.3">
      <c r="A72" s="52"/>
      <c r="K72" s="58"/>
    </row>
    <row r="73" spans="1:11" x14ac:dyDescent="0.3">
      <c r="A73" s="52"/>
      <c r="K73" s="58"/>
    </row>
    <row r="74" spans="1:11" x14ac:dyDescent="0.3">
      <c r="A74" s="52"/>
      <c r="K74" s="58"/>
    </row>
    <row r="75" spans="1:11" x14ac:dyDescent="0.3">
      <c r="A75" s="52"/>
      <c r="K75" s="58"/>
    </row>
    <row r="76" spans="1:11" x14ac:dyDescent="0.3">
      <c r="A76" s="52"/>
      <c r="K76" s="58"/>
    </row>
    <row r="77" spans="1:11" x14ac:dyDescent="0.3">
      <c r="A77" s="52"/>
      <c r="K77" s="58"/>
    </row>
    <row r="78" spans="1:11" x14ac:dyDescent="0.3">
      <c r="A78" s="52"/>
      <c r="K78" s="58"/>
    </row>
    <row r="79" spans="1:11" x14ac:dyDescent="0.3">
      <c r="A79" s="52"/>
      <c r="K79" s="58"/>
    </row>
    <row r="80" spans="1:11" x14ac:dyDescent="0.3">
      <c r="A80" s="52"/>
      <c r="K80" s="58"/>
    </row>
    <row r="81" spans="1:11" x14ac:dyDescent="0.3">
      <c r="A81" s="52"/>
      <c r="K81" s="58"/>
    </row>
    <row r="82" spans="1:11" x14ac:dyDescent="0.3">
      <c r="A82" s="52"/>
      <c r="K82" s="58"/>
    </row>
    <row r="83" spans="1:11" x14ac:dyDescent="0.3">
      <c r="A83" s="52"/>
      <c r="K83" s="58"/>
    </row>
    <row r="84" spans="1:11" x14ac:dyDescent="0.3">
      <c r="A84" s="52"/>
      <c r="K84" s="58"/>
    </row>
    <row r="85" spans="1:11" x14ac:dyDescent="0.3">
      <c r="A85" s="52"/>
      <c r="K85" s="58"/>
    </row>
    <row r="86" spans="1:11" x14ac:dyDescent="0.3">
      <c r="A86" s="52"/>
      <c r="K86" s="58"/>
    </row>
    <row r="87" spans="1:11" x14ac:dyDescent="0.3">
      <c r="A87" s="52"/>
      <c r="K87" s="58"/>
    </row>
    <row r="88" spans="1:11" x14ac:dyDescent="0.3">
      <c r="A88" s="52"/>
      <c r="K88" s="58"/>
    </row>
    <row r="89" spans="1:11" x14ac:dyDescent="0.3">
      <c r="A89" s="52"/>
      <c r="K89" s="58"/>
    </row>
    <row r="90" spans="1:11" x14ac:dyDescent="0.3">
      <c r="A90" s="52"/>
      <c r="K90" s="58"/>
    </row>
    <row r="91" spans="1:11" x14ac:dyDescent="0.3">
      <c r="A91" s="52"/>
      <c r="K91" s="58"/>
    </row>
    <row r="92" spans="1:11" x14ac:dyDescent="0.3">
      <c r="A92" s="52"/>
      <c r="K92" s="58"/>
    </row>
    <row r="93" spans="1:11" x14ac:dyDescent="0.3">
      <c r="A93" s="52"/>
      <c r="K93" s="58"/>
    </row>
    <row r="94" spans="1:11" x14ac:dyDescent="0.3">
      <c r="A94" s="52"/>
      <c r="K94" s="58"/>
    </row>
    <row r="95" spans="1:11" x14ac:dyDescent="0.3">
      <c r="A95" s="52"/>
      <c r="K95" s="58"/>
    </row>
    <row r="96" spans="1:11" x14ac:dyDescent="0.3">
      <c r="A96" s="52"/>
      <c r="K96" s="58"/>
    </row>
    <row r="97" spans="1:11" x14ac:dyDescent="0.3">
      <c r="A97" s="52"/>
      <c r="K97" s="58"/>
    </row>
    <row r="98" spans="1:11" x14ac:dyDescent="0.3">
      <c r="A98" s="52"/>
      <c r="K98" s="58"/>
    </row>
    <row r="99" spans="1:11" x14ac:dyDescent="0.3">
      <c r="A99" s="52"/>
      <c r="K99" s="58"/>
    </row>
    <row r="100" spans="1:11" x14ac:dyDescent="0.3">
      <c r="A100" s="52"/>
      <c r="K100" s="58"/>
    </row>
    <row r="101" spans="1:11" x14ac:dyDescent="0.3">
      <c r="A101" s="52"/>
      <c r="K101" s="58"/>
    </row>
    <row r="102" spans="1:11" x14ac:dyDescent="0.3">
      <c r="A102" s="52"/>
      <c r="K102" s="58"/>
    </row>
    <row r="103" spans="1:11" x14ac:dyDescent="0.3">
      <c r="A103" s="52"/>
      <c r="K103" s="58"/>
    </row>
    <row r="104" spans="1:11" x14ac:dyDescent="0.3">
      <c r="A104" s="52"/>
      <c r="K104" s="58"/>
    </row>
    <row r="105" spans="1:11" x14ac:dyDescent="0.3">
      <c r="A105" s="52"/>
      <c r="K105" s="58"/>
    </row>
    <row r="106" spans="1:11" x14ac:dyDescent="0.3">
      <c r="A106" s="52"/>
      <c r="K106" s="58"/>
    </row>
    <row r="107" spans="1:11" x14ac:dyDescent="0.3">
      <c r="A107" s="52"/>
      <c r="K107" s="58"/>
    </row>
    <row r="108" spans="1:11" x14ac:dyDescent="0.3">
      <c r="A108" s="52"/>
      <c r="K108" s="58"/>
    </row>
    <row r="109" spans="1:11" x14ac:dyDescent="0.3">
      <c r="A109" s="52"/>
      <c r="K109" s="58"/>
    </row>
    <row r="110" spans="1:11" x14ac:dyDescent="0.3">
      <c r="A110" s="52"/>
      <c r="K110" s="58"/>
    </row>
    <row r="111" spans="1:11" x14ac:dyDescent="0.3">
      <c r="A111" s="52"/>
      <c r="K111" s="58"/>
    </row>
    <row r="112" spans="1:11" x14ac:dyDescent="0.3">
      <c r="A112" s="52"/>
      <c r="K112" s="58"/>
    </row>
    <row r="113" spans="1:11" x14ac:dyDescent="0.3">
      <c r="A113" s="52"/>
      <c r="K113" s="58"/>
    </row>
    <row r="114" spans="1:11" x14ac:dyDescent="0.3">
      <c r="A114" s="52"/>
      <c r="K114" s="58"/>
    </row>
    <row r="115" spans="1:11" x14ac:dyDescent="0.3">
      <c r="A115" s="52"/>
      <c r="K115" s="58"/>
    </row>
    <row r="116" spans="1:11" x14ac:dyDescent="0.3">
      <c r="A116" s="52"/>
      <c r="K116" s="58"/>
    </row>
    <row r="117" spans="1:11" x14ac:dyDescent="0.3">
      <c r="A117" s="52"/>
      <c r="K117" s="58"/>
    </row>
    <row r="118" spans="1:11" x14ac:dyDescent="0.3">
      <c r="A118" s="52"/>
      <c r="K118" s="58"/>
    </row>
    <row r="119" spans="1:11" x14ac:dyDescent="0.3">
      <c r="A119" s="52"/>
      <c r="K119" s="58"/>
    </row>
    <row r="120" spans="1:11" x14ac:dyDescent="0.3">
      <c r="A120" s="52"/>
      <c r="K120" s="58"/>
    </row>
    <row r="121" spans="1:11" x14ac:dyDescent="0.3">
      <c r="A121" s="52"/>
      <c r="K121" s="58"/>
    </row>
    <row r="122" spans="1:11" x14ac:dyDescent="0.3">
      <c r="A122" s="52"/>
      <c r="K122" s="58"/>
    </row>
    <row r="123" spans="1:11" x14ac:dyDescent="0.3">
      <c r="A123" s="52"/>
      <c r="K123" s="58"/>
    </row>
    <row r="124" spans="1:11" x14ac:dyDescent="0.3">
      <c r="A124" s="52"/>
      <c r="K124" s="58"/>
    </row>
    <row r="125" spans="1:11" x14ac:dyDescent="0.3">
      <c r="A125" s="52"/>
      <c r="K125" s="58"/>
    </row>
    <row r="126" spans="1:11" x14ac:dyDescent="0.3">
      <c r="A126" s="52"/>
      <c r="K126" s="58"/>
    </row>
    <row r="127" spans="1:11" x14ac:dyDescent="0.3">
      <c r="A127" s="52"/>
      <c r="K127" s="58"/>
    </row>
    <row r="128" spans="1:11" x14ac:dyDescent="0.3">
      <c r="A128" s="52"/>
      <c r="K128" s="58"/>
    </row>
    <row r="129" spans="1:11" x14ac:dyDescent="0.3">
      <c r="A129" s="52"/>
      <c r="K129" s="58"/>
    </row>
    <row r="130" spans="1:11" x14ac:dyDescent="0.3">
      <c r="A130" s="52"/>
      <c r="K130" s="58"/>
    </row>
    <row r="131" spans="1:11" x14ac:dyDescent="0.3">
      <c r="A131" s="52"/>
      <c r="K131" s="58"/>
    </row>
    <row r="132" spans="1:11" x14ac:dyDescent="0.3">
      <c r="A132" s="52"/>
      <c r="K132" s="58"/>
    </row>
    <row r="133" spans="1:11" x14ac:dyDescent="0.3">
      <c r="A133" s="52"/>
      <c r="K133" s="58"/>
    </row>
    <row r="134" spans="1:11" x14ac:dyDescent="0.3">
      <c r="A134" s="52"/>
      <c r="K134" s="58"/>
    </row>
    <row r="135" spans="1:11" x14ac:dyDescent="0.3">
      <c r="A135" s="52"/>
      <c r="K135" s="58"/>
    </row>
    <row r="136" spans="1:11" x14ac:dyDescent="0.3">
      <c r="A136" s="52"/>
      <c r="K136" s="58"/>
    </row>
    <row r="137" spans="1:11" x14ac:dyDescent="0.3">
      <c r="A137" s="52"/>
      <c r="K137" s="58"/>
    </row>
    <row r="138" spans="1:11" x14ac:dyDescent="0.3">
      <c r="A138" s="52"/>
      <c r="K138" s="58"/>
    </row>
    <row r="139" spans="1:11" x14ac:dyDescent="0.3">
      <c r="A139" s="52"/>
      <c r="K139" s="58"/>
    </row>
    <row r="140" spans="1:11" x14ac:dyDescent="0.3">
      <c r="A140" s="52"/>
      <c r="K140" s="58"/>
    </row>
    <row r="141" spans="1:11" x14ac:dyDescent="0.3">
      <c r="A141" s="52"/>
      <c r="K141" s="58"/>
    </row>
    <row r="142" spans="1:11" x14ac:dyDescent="0.3">
      <c r="A142" s="52"/>
      <c r="K142" s="58"/>
    </row>
    <row r="143" spans="1:11" x14ac:dyDescent="0.3">
      <c r="A143" s="52"/>
      <c r="K143" s="58"/>
    </row>
    <row r="144" spans="1:11" x14ac:dyDescent="0.3">
      <c r="A144" s="52"/>
      <c r="K144" s="58"/>
    </row>
    <row r="145" spans="1:11" x14ac:dyDescent="0.3">
      <c r="A145" s="52"/>
      <c r="K145" s="58"/>
    </row>
    <row r="146" spans="1:11" x14ac:dyDescent="0.3">
      <c r="A146" s="52"/>
      <c r="K146" s="58"/>
    </row>
    <row r="147" spans="1:11" x14ac:dyDescent="0.3">
      <c r="A147" s="52"/>
      <c r="K147" s="58"/>
    </row>
    <row r="148" spans="1:11" x14ac:dyDescent="0.3">
      <c r="A148" s="52"/>
      <c r="K148" s="58"/>
    </row>
    <row r="149" spans="1:11" x14ac:dyDescent="0.3">
      <c r="A149" s="52"/>
      <c r="K149" s="58"/>
    </row>
    <row r="150" spans="1:11" x14ac:dyDescent="0.3">
      <c r="A150" s="52"/>
      <c r="K150" s="58"/>
    </row>
    <row r="151" spans="1:11" x14ac:dyDescent="0.3">
      <c r="A151" s="52"/>
      <c r="K151" s="58"/>
    </row>
    <row r="152" spans="1:11" x14ac:dyDescent="0.3">
      <c r="A152" s="52"/>
      <c r="K152" s="58"/>
    </row>
    <row r="153" spans="1:11" x14ac:dyDescent="0.3">
      <c r="A153" s="52"/>
      <c r="K153" s="58"/>
    </row>
    <row r="154" spans="1:11" x14ac:dyDescent="0.3">
      <c r="A154" s="52"/>
      <c r="K154" s="58"/>
    </row>
    <row r="155" spans="1:11" x14ac:dyDescent="0.3">
      <c r="A155" s="52"/>
      <c r="K155" s="58"/>
    </row>
    <row r="156" spans="1:11" x14ac:dyDescent="0.3">
      <c r="A156" s="52"/>
      <c r="K156" s="58"/>
    </row>
    <row r="157" spans="1:11" x14ac:dyDescent="0.3">
      <c r="A157" s="52"/>
      <c r="K157" s="58"/>
    </row>
    <row r="158" spans="1:11" x14ac:dyDescent="0.3">
      <c r="A158" s="52"/>
      <c r="K158" s="58"/>
    </row>
    <row r="159" spans="1:11" x14ac:dyDescent="0.3">
      <c r="A159" s="52"/>
      <c r="K159" s="58"/>
    </row>
    <row r="160" spans="1:11" x14ac:dyDescent="0.3">
      <c r="A160" s="52"/>
      <c r="K160" s="58"/>
    </row>
    <row r="161" spans="1:11" x14ac:dyDescent="0.3">
      <c r="A161" s="52"/>
      <c r="K161" s="58"/>
    </row>
    <row r="162" spans="1:11" x14ac:dyDescent="0.3">
      <c r="A162" s="52"/>
      <c r="K162" s="58"/>
    </row>
    <row r="163" spans="1:11" x14ac:dyDescent="0.3">
      <c r="A163" s="52"/>
      <c r="K163" s="58"/>
    </row>
    <row r="164" spans="1:11" x14ac:dyDescent="0.3">
      <c r="A164" s="52"/>
      <c r="K164" s="58"/>
    </row>
    <row r="165" spans="1:11" x14ac:dyDescent="0.3">
      <c r="A165" s="52"/>
      <c r="K165" s="58"/>
    </row>
    <row r="166" spans="1:11" x14ac:dyDescent="0.3">
      <c r="A166" s="52"/>
      <c r="K166" s="58"/>
    </row>
    <row r="167" spans="1:11" x14ac:dyDescent="0.3">
      <c r="A167" s="52"/>
      <c r="K167" s="58"/>
    </row>
    <row r="168" spans="1:11" x14ac:dyDescent="0.3">
      <c r="A168" s="52"/>
      <c r="K168" s="58"/>
    </row>
    <row r="169" spans="1:11" x14ac:dyDescent="0.3">
      <c r="A169" s="52"/>
      <c r="K169" s="58"/>
    </row>
    <row r="170" spans="1:11" x14ac:dyDescent="0.3">
      <c r="A170" s="52"/>
      <c r="K170" s="58"/>
    </row>
    <row r="171" spans="1:11" x14ac:dyDescent="0.3">
      <c r="A171" s="52"/>
      <c r="K171" s="58"/>
    </row>
    <row r="172" spans="1:11" x14ac:dyDescent="0.3">
      <c r="A172" s="52"/>
      <c r="K172" s="58"/>
    </row>
    <row r="173" spans="1:11" x14ac:dyDescent="0.3">
      <c r="A173" s="52"/>
      <c r="K173" s="58"/>
    </row>
    <row r="174" spans="1:11" x14ac:dyDescent="0.3">
      <c r="A174" s="52"/>
      <c r="K174" s="58"/>
    </row>
    <row r="175" spans="1:11" x14ac:dyDescent="0.3">
      <c r="A175" s="52"/>
      <c r="K175" s="58"/>
    </row>
    <row r="176" spans="1:11" x14ac:dyDescent="0.3">
      <c r="A176" s="52"/>
      <c r="K176" s="58"/>
    </row>
    <row r="177" spans="1:11" x14ac:dyDescent="0.3">
      <c r="A177" s="52"/>
      <c r="K177" s="58"/>
    </row>
    <row r="178" spans="1:11" x14ac:dyDescent="0.3">
      <c r="A178" s="52"/>
      <c r="K178" s="58"/>
    </row>
    <row r="179" spans="1:11" x14ac:dyDescent="0.3">
      <c r="A179" s="52"/>
      <c r="K179" s="58"/>
    </row>
    <row r="180" spans="1:11" x14ac:dyDescent="0.3">
      <c r="A180" s="52"/>
      <c r="K180" s="58"/>
    </row>
    <row r="181" spans="1:11" x14ac:dyDescent="0.3">
      <c r="A181" s="52"/>
      <c r="K181" s="58"/>
    </row>
    <row r="182" spans="1:11" x14ac:dyDescent="0.3">
      <c r="A182" s="52"/>
      <c r="K182" s="58"/>
    </row>
    <row r="183" spans="1:11" x14ac:dyDescent="0.3">
      <c r="A183" s="52"/>
      <c r="K183" s="58"/>
    </row>
    <row r="184" spans="1:11" x14ac:dyDescent="0.3">
      <c r="A184" s="52"/>
      <c r="K184" s="58"/>
    </row>
    <row r="185" spans="1:11" x14ac:dyDescent="0.3">
      <c r="A185" s="52"/>
      <c r="K185" s="58"/>
    </row>
    <row r="186" spans="1:11" x14ac:dyDescent="0.3">
      <c r="A186" s="52"/>
      <c r="K186" s="58"/>
    </row>
    <row r="187" spans="1:11" x14ac:dyDescent="0.3">
      <c r="A187" s="52"/>
      <c r="K187" s="58"/>
    </row>
    <row r="188" spans="1:11" x14ac:dyDescent="0.3">
      <c r="A188" s="52"/>
      <c r="K188" s="58"/>
    </row>
    <row r="189" spans="1:11" x14ac:dyDescent="0.3">
      <c r="A189" s="52"/>
      <c r="K189" s="58"/>
    </row>
    <row r="190" spans="1:11" x14ac:dyDescent="0.3">
      <c r="A190" s="52"/>
      <c r="K190" s="58"/>
    </row>
    <row r="191" spans="1:11" x14ac:dyDescent="0.3">
      <c r="A191" s="52"/>
      <c r="K191" s="58"/>
    </row>
    <row r="192" spans="1:11" x14ac:dyDescent="0.3">
      <c r="A192" s="52"/>
      <c r="K192" s="58"/>
    </row>
    <row r="193" spans="1:11" x14ac:dyDescent="0.3">
      <c r="A193" s="52"/>
      <c r="K193" s="58"/>
    </row>
    <row r="194" spans="1:11" x14ac:dyDescent="0.3">
      <c r="A194" s="52"/>
      <c r="K194" s="58"/>
    </row>
    <row r="195" spans="1:11" x14ac:dyDescent="0.3">
      <c r="A195" s="52"/>
      <c r="K195" s="58"/>
    </row>
    <row r="196" spans="1:11" x14ac:dyDescent="0.3">
      <c r="A196" s="52"/>
      <c r="K196" s="58"/>
    </row>
    <row r="197" spans="1:11" x14ac:dyDescent="0.3">
      <c r="A197" s="52"/>
      <c r="K197" s="58"/>
    </row>
    <row r="198" spans="1:11" x14ac:dyDescent="0.3">
      <c r="A198" s="52"/>
      <c r="K198" s="58"/>
    </row>
    <row r="199" spans="1:11" x14ac:dyDescent="0.3">
      <c r="A199" s="52"/>
      <c r="K199" s="58"/>
    </row>
    <row r="200" spans="1:11" x14ac:dyDescent="0.3">
      <c r="A200" s="52"/>
      <c r="K200" s="58"/>
    </row>
    <row r="201" spans="1:11" x14ac:dyDescent="0.3">
      <c r="A201" s="52"/>
      <c r="K201" s="58"/>
    </row>
    <row r="202" spans="1:11" x14ac:dyDescent="0.3">
      <c r="A202" s="52"/>
      <c r="K202" s="58"/>
    </row>
    <row r="203" spans="1:11" x14ac:dyDescent="0.3">
      <c r="A203" s="52"/>
      <c r="K203" s="58"/>
    </row>
    <row r="204" spans="1:11" x14ac:dyDescent="0.3">
      <c r="A204" s="52"/>
      <c r="K204" s="58"/>
    </row>
    <row r="205" spans="1:11" x14ac:dyDescent="0.3">
      <c r="A205" s="52"/>
      <c r="K205" s="58"/>
    </row>
    <row r="206" spans="1:11" x14ac:dyDescent="0.3">
      <c r="A206" s="52"/>
      <c r="K206" s="58"/>
    </row>
    <row r="207" spans="1:11" x14ac:dyDescent="0.3">
      <c r="A207" s="52"/>
      <c r="K207" s="58"/>
    </row>
    <row r="208" spans="1:11" x14ac:dyDescent="0.3">
      <c r="A208" s="52"/>
      <c r="K208" s="58"/>
    </row>
    <row r="209" spans="1:11" x14ac:dyDescent="0.3">
      <c r="A209" s="52"/>
      <c r="K209" s="58"/>
    </row>
    <row r="210" spans="1:11" x14ac:dyDescent="0.3">
      <c r="A210" s="52"/>
      <c r="K210" s="58"/>
    </row>
    <row r="211" spans="1:11" x14ac:dyDescent="0.3">
      <c r="A211" s="52"/>
      <c r="K211" s="58"/>
    </row>
    <row r="212" spans="1:11" x14ac:dyDescent="0.3">
      <c r="A212" s="52"/>
      <c r="K212" s="58"/>
    </row>
    <row r="213" spans="1:11" x14ac:dyDescent="0.3">
      <c r="A213" s="52"/>
      <c r="K213" s="58"/>
    </row>
    <row r="214" spans="1:11" x14ac:dyDescent="0.3">
      <c r="A214" s="52"/>
      <c r="K214" s="58"/>
    </row>
    <row r="215" spans="1:11" x14ac:dyDescent="0.3">
      <c r="A215" s="52"/>
      <c r="K215" s="58"/>
    </row>
    <row r="216" spans="1:11" x14ac:dyDescent="0.3">
      <c r="A216" s="52"/>
      <c r="K216" s="58"/>
    </row>
    <row r="217" spans="1:11" x14ac:dyDescent="0.3">
      <c r="A217" s="52"/>
      <c r="K217" s="58"/>
    </row>
    <row r="218" spans="1:11" x14ac:dyDescent="0.3">
      <c r="A218" s="52"/>
      <c r="K218" s="58"/>
    </row>
    <row r="219" spans="1:11" x14ac:dyDescent="0.3">
      <c r="A219" s="52"/>
      <c r="K219" s="58"/>
    </row>
    <row r="220" spans="1:11" x14ac:dyDescent="0.3">
      <c r="A220" s="52"/>
      <c r="K220" s="58"/>
    </row>
    <row r="221" spans="1:11" x14ac:dyDescent="0.3">
      <c r="A221" s="52"/>
      <c r="K221" s="58"/>
    </row>
    <row r="222" spans="1:11" x14ac:dyDescent="0.3">
      <c r="A222" s="52"/>
      <c r="K222" s="58"/>
    </row>
    <row r="223" spans="1:11" x14ac:dyDescent="0.3">
      <c r="A223" s="52"/>
      <c r="K223" s="58"/>
    </row>
    <row r="224" spans="1:11" x14ac:dyDescent="0.3">
      <c r="A224" s="52"/>
      <c r="K224" s="58"/>
    </row>
    <row r="225" spans="1:11" x14ac:dyDescent="0.3">
      <c r="A225" s="52"/>
      <c r="K225" s="58"/>
    </row>
    <row r="226" spans="1:11" x14ac:dyDescent="0.3">
      <c r="A226" s="52"/>
      <c r="K226" s="58"/>
    </row>
    <row r="227" spans="1:11" x14ac:dyDescent="0.3">
      <c r="A227" s="52"/>
      <c r="K227" s="58"/>
    </row>
    <row r="228" spans="1:11" x14ac:dyDescent="0.3">
      <c r="A228" s="52"/>
      <c r="K228" s="58"/>
    </row>
    <row r="229" spans="1:11" x14ac:dyDescent="0.3">
      <c r="A229" s="52"/>
      <c r="K229" s="58"/>
    </row>
    <row r="230" spans="1:11" x14ac:dyDescent="0.3">
      <c r="A230" s="52"/>
      <c r="K230" s="58"/>
    </row>
    <row r="231" spans="1:11" x14ac:dyDescent="0.3">
      <c r="A231" s="52"/>
      <c r="K231" s="58"/>
    </row>
    <row r="232" spans="1:11" x14ac:dyDescent="0.3">
      <c r="A232" s="52"/>
      <c r="K232" s="58"/>
    </row>
    <row r="233" spans="1:11" x14ac:dyDescent="0.3">
      <c r="A233" s="52"/>
      <c r="K233" s="58"/>
    </row>
    <row r="234" spans="1:11" x14ac:dyDescent="0.3">
      <c r="A234" s="52"/>
      <c r="K234" s="58"/>
    </row>
    <row r="235" spans="1:11" x14ac:dyDescent="0.3">
      <c r="A235" s="52"/>
      <c r="K235" s="58"/>
    </row>
    <row r="236" spans="1:11" x14ac:dyDescent="0.3">
      <c r="A236" s="52"/>
      <c r="K236" s="58"/>
    </row>
    <row r="237" spans="1:11" x14ac:dyDescent="0.3">
      <c r="A237" s="52"/>
      <c r="K237" s="58"/>
    </row>
    <row r="238" spans="1:11" x14ac:dyDescent="0.3">
      <c r="A238" s="52"/>
      <c r="K238" s="58"/>
    </row>
    <row r="239" spans="1:11" x14ac:dyDescent="0.3">
      <c r="A239" s="52"/>
      <c r="K239" s="58"/>
    </row>
    <row r="240" spans="1:11" x14ac:dyDescent="0.3">
      <c r="A240" s="52"/>
      <c r="K240" s="58"/>
    </row>
    <row r="241" spans="1:11" x14ac:dyDescent="0.3">
      <c r="A241" s="52"/>
      <c r="K241" s="58"/>
    </row>
    <row r="242" spans="1:11" x14ac:dyDescent="0.3">
      <c r="A242" s="52"/>
      <c r="K242" s="58"/>
    </row>
    <row r="243" spans="1:11" x14ac:dyDescent="0.3">
      <c r="A243" s="52"/>
      <c r="K243" s="58"/>
    </row>
    <row r="244" spans="1:11" x14ac:dyDescent="0.3">
      <c r="A244" s="52"/>
      <c r="K244" s="58"/>
    </row>
    <row r="245" spans="1:11" x14ac:dyDescent="0.3">
      <c r="A245" s="52"/>
      <c r="K245" s="58"/>
    </row>
    <row r="246" spans="1:11" x14ac:dyDescent="0.3">
      <c r="A246" s="52"/>
      <c r="K246" s="58"/>
    </row>
    <row r="247" spans="1:11" x14ac:dyDescent="0.3">
      <c r="A247" s="52"/>
      <c r="K247" s="58"/>
    </row>
    <row r="248" spans="1:11" x14ac:dyDescent="0.3">
      <c r="A248" s="52"/>
      <c r="K248" s="58"/>
    </row>
    <row r="249" spans="1:11" x14ac:dyDescent="0.3">
      <c r="A249" s="52"/>
      <c r="K249" s="58"/>
    </row>
    <row r="250" spans="1:11" x14ac:dyDescent="0.3">
      <c r="A250" s="52"/>
      <c r="K250" s="58"/>
    </row>
    <row r="251" spans="1:11" x14ac:dyDescent="0.3">
      <c r="A251" s="52"/>
      <c r="K251" s="58"/>
    </row>
    <row r="252" spans="1:11" x14ac:dyDescent="0.3">
      <c r="A252" s="52"/>
      <c r="K252" s="58"/>
    </row>
    <row r="253" spans="1:11" x14ac:dyDescent="0.3">
      <c r="A253" s="52"/>
      <c r="K253" s="58"/>
    </row>
    <row r="254" spans="1:11" x14ac:dyDescent="0.3">
      <c r="A254" s="52"/>
      <c r="K254" s="58"/>
    </row>
    <row r="255" spans="1:11" x14ac:dyDescent="0.3">
      <c r="A255" s="52"/>
      <c r="K255" s="58"/>
    </row>
    <row r="256" spans="1:11" x14ac:dyDescent="0.3">
      <c r="A256" s="52"/>
      <c r="K256" s="58"/>
    </row>
    <row r="257" spans="1:11" x14ac:dyDescent="0.3">
      <c r="A257" s="52"/>
      <c r="K257" s="58"/>
    </row>
    <row r="258" spans="1:11" x14ac:dyDescent="0.3">
      <c r="A258" s="52"/>
      <c r="K258" s="58"/>
    </row>
    <row r="259" spans="1:11" x14ac:dyDescent="0.3">
      <c r="A259" s="52"/>
      <c r="K259" s="58"/>
    </row>
    <row r="260" spans="1:11" x14ac:dyDescent="0.3">
      <c r="A260" s="52"/>
      <c r="K260" s="58"/>
    </row>
    <row r="261" spans="1:11" x14ac:dyDescent="0.3">
      <c r="A261" s="52"/>
      <c r="K261" s="58"/>
    </row>
    <row r="262" spans="1:11" x14ac:dyDescent="0.3">
      <c r="A262" s="52"/>
      <c r="K262" s="58"/>
    </row>
    <row r="263" spans="1:11" x14ac:dyDescent="0.3">
      <c r="A263" s="52"/>
      <c r="K263" s="58"/>
    </row>
    <row r="264" spans="1:11" x14ac:dyDescent="0.3">
      <c r="A264" s="52"/>
      <c r="K264" s="58"/>
    </row>
    <row r="265" spans="1:11" x14ac:dyDescent="0.3">
      <c r="A265" s="52"/>
      <c r="K265" s="58"/>
    </row>
    <row r="266" spans="1:11" x14ac:dyDescent="0.3">
      <c r="A266" s="52"/>
      <c r="K266" s="58"/>
    </row>
    <row r="267" spans="1:11" x14ac:dyDescent="0.3">
      <c r="A267" s="52"/>
      <c r="K267" s="58"/>
    </row>
    <row r="268" spans="1:11" x14ac:dyDescent="0.3">
      <c r="A268" s="52"/>
      <c r="K268" s="58"/>
    </row>
    <row r="269" spans="1:11" x14ac:dyDescent="0.3">
      <c r="A269" s="52"/>
      <c r="K269" s="58"/>
    </row>
    <row r="270" spans="1:11" x14ac:dyDescent="0.3">
      <c r="A270" s="52"/>
      <c r="K270" s="58"/>
    </row>
    <row r="271" spans="1:11" x14ac:dyDescent="0.3">
      <c r="A271" s="52"/>
      <c r="K271" s="58"/>
    </row>
    <row r="272" spans="1:11" x14ac:dyDescent="0.3">
      <c r="A272" s="52"/>
      <c r="K272" s="58"/>
    </row>
    <row r="273" spans="1:11" x14ac:dyDescent="0.3">
      <c r="A273" s="52"/>
      <c r="K273" s="58"/>
    </row>
    <row r="274" spans="1:11" x14ac:dyDescent="0.3">
      <c r="A274" s="52"/>
      <c r="K274" s="58"/>
    </row>
    <row r="275" spans="1:11" x14ac:dyDescent="0.3">
      <c r="A275" s="52"/>
      <c r="K275" s="58"/>
    </row>
    <row r="276" spans="1:11" x14ac:dyDescent="0.3">
      <c r="A276" s="52"/>
      <c r="K276" s="58"/>
    </row>
    <row r="277" spans="1:11" x14ac:dyDescent="0.3">
      <c r="A277" s="52"/>
      <c r="K277" s="58"/>
    </row>
    <row r="278" spans="1:11" x14ac:dyDescent="0.3">
      <c r="A278" s="52"/>
      <c r="K278" s="58"/>
    </row>
    <row r="279" spans="1:11" x14ac:dyDescent="0.3">
      <c r="A279" s="52"/>
      <c r="K279" s="58"/>
    </row>
    <row r="280" spans="1:11" x14ac:dyDescent="0.3">
      <c r="A280" s="52"/>
      <c r="K280" s="58"/>
    </row>
    <row r="281" spans="1:11" x14ac:dyDescent="0.3">
      <c r="A281" s="52"/>
      <c r="K281" s="58"/>
    </row>
    <row r="282" spans="1:11" x14ac:dyDescent="0.3">
      <c r="A282" s="52"/>
      <c r="K282" s="58"/>
    </row>
    <row r="283" spans="1:11" x14ac:dyDescent="0.3">
      <c r="A283" s="52"/>
      <c r="K283" s="58"/>
    </row>
    <row r="284" spans="1:11" x14ac:dyDescent="0.3">
      <c r="A284" s="52"/>
      <c r="K284" s="58"/>
    </row>
    <row r="285" spans="1:11" x14ac:dyDescent="0.3">
      <c r="A285" s="52"/>
      <c r="K285" s="58"/>
    </row>
    <row r="286" spans="1:11" x14ac:dyDescent="0.3">
      <c r="A286" s="52"/>
      <c r="K286" s="58"/>
    </row>
    <row r="287" spans="1:11" x14ac:dyDescent="0.3">
      <c r="A287" s="52"/>
      <c r="K287" s="58"/>
    </row>
    <row r="288" spans="1:11" x14ac:dyDescent="0.3">
      <c r="A288" s="52"/>
      <c r="K288" s="58"/>
    </row>
    <row r="289" spans="1:11" x14ac:dyDescent="0.3">
      <c r="A289" s="52"/>
      <c r="K289" s="58"/>
    </row>
    <row r="290" spans="1:11" x14ac:dyDescent="0.3">
      <c r="A290" s="52"/>
      <c r="K290" s="58"/>
    </row>
    <row r="291" spans="1:11" x14ac:dyDescent="0.3">
      <c r="A291" s="52"/>
      <c r="K291" s="58"/>
    </row>
    <row r="292" spans="1:11" x14ac:dyDescent="0.3">
      <c r="A292" s="52"/>
      <c r="K292" s="58"/>
    </row>
    <row r="293" spans="1:11" x14ac:dyDescent="0.3">
      <c r="A293" s="52"/>
      <c r="K293" s="58"/>
    </row>
    <row r="294" spans="1:11" x14ac:dyDescent="0.3">
      <c r="A294" s="52"/>
      <c r="K294" s="58"/>
    </row>
    <row r="295" spans="1:11" x14ac:dyDescent="0.3">
      <c r="A295" s="52"/>
      <c r="K295" s="58"/>
    </row>
    <row r="296" spans="1:11" x14ac:dyDescent="0.3">
      <c r="A296" s="52"/>
      <c r="K296" s="58"/>
    </row>
    <row r="297" spans="1:11" x14ac:dyDescent="0.3">
      <c r="A297" s="52"/>
      <c r="K297" s="58"/>
    </row>
    <row r="298" spans="1:11" x14ac:dyDescent="0.3">
      <c r="A298" s="52"/>
      <c r="K298" s="58"/>
    </row>
    <row r="299" spans="1:11" x14ac:dyDescent="0.3">
      <c r="A299" s="52"/>
      <c r="K299" s="58"/>
    </row>
    <row r="300" spans="1:11" x14ac:dyDescent="0.3">
      <c r="A300" s="52"/>
      <c r="K300" s="58"/>
    </row>
  </sheetData>
  <mergeCells count="14">
    <mergeCell ref="F8:G8"/>
    <mergeCell ref="B1:D3"/>
    <mergeCell ref="C9:D9"/>
    <mergeCell ref="C10:D10"/>
    <mergeCell ref="F9:G9"/>
    <mergeCell ref="F10:G10"/>
    <mergeCell ref="F7:H7"/>
    <mergeCell ref="C67:C69"/>
    <mergeCell ref="D67:E69"/>
    <mergeCell ref="F67:F69"/>
    <mergeCell ref="G67:H69"/>
    <mergeCell ref="D12:F12"/>
    <mergeCell ref="D66:E66"/>
    <mergeCell ref="G66:H66"/>
  </mergeCells>
  <pageMargins left="0.48" right="0.34" top="0.55000000000000004" bottom="0.56999999999999995" header="0.42" footer="0.3"/>
  <pageSetup paperSize="119" scale="64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6">
    <tabColor theme="0"/>
    <pageSetUpPr fitToPage="1"/>
  </sheetPr>
  <dimension ref="A1:Z300"/>
  <sheetViews>
    <sheetView showGridLines="0" topLeftCell="A16" zoomScaleNormal="100" workbookViewId="0"/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8" style="2" customWidth="1"/>
    <col min="4" max="4" width="14.5703125" style="2" bestFit="1" customWidth="1"/>
    <col min="5" max="5" width="18.28515625" style="2" customWidth="1"/>
    <col min="6" max="6" width="17.140625" style="2" customWidth="1"/>
    <col min="7" max="7" width="18" style="2" customWidth="1"/>
    <col min="8" max="8" width="18.140625" style="2" customWidth="1"/>
    <col min="9" max="9" width="18.28515625" style="2" customWidth="1"/>
    <col min="10" max="10" width="19.42578125" style="2" customWidth="1"/>
    <col min="11" max="12" width="2.28515625" style="2" customWidth="1"/>
    <col min="13" max="16384" width="11.42578125" style="2"/>
  </cols>
  <sheetData>
    <row r="1" spans="1:26" ht="16.5" customHeight="1" x14ac:dyDescent="0.3">
      <c r="A1" s="1"/>
      <c r="B1" s="81" t="s">
        <v>92</v>
      </c>
      <c r="C1" s="81"/>
      <c r="D1" s="81"/>
      <c r="E1" s="81"/>
      <c r="F1" s="81"/>
      <c r="G1" s="81"/>
      <c r="H1" s="81"/>
      <c r="I1" s="8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 x14ac:dyDescent="0.3">
      <c r="A2" s="1"/>
      <c r="B2" s="81"/>
      <c r="C2" s="81"/>
      <c r="D2" s="81"/>
      <c r="E2" s="81"/>
      <c r="F2" s="81"/>
      <c r="G2" s="81"/>
      <c r="H2" s="81"/>
      <c r="I2" s="8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 x14ac:dyDescent="0.3">
      <c r="A3" s="1"/>
      <c r="B3" s="81"/>
      <c r="C3" s="81"/>
      <c r="D3" s="81"/>
      <c r="E3" s="81"/>
      <c r="F3" s="81"/>
      <c r="G3" s="81"/>
      <c r="H3" s="81"/>
      <c r="I3" s="8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L4" s="1"/>
    </row>
    <row r="5" spans="1:26" x14ac:dyDescent="0.3">
      <c r="A5" s="1"/>
      <c r="C5" s="22" t="s">
        <v>59</v>
      </c>
      <c r="D5" s="22" t="s">
        <v>65</v>
      </c>
      <c r="E5" s="22" t="s">
        <v>53</v>
      </c>
      <c r="F5" s="22" t="s">
        <v>67</v>
      </c>
      <c r="G5" s="23" t="s">
        <v>94</v>
      </c>
      <c r="H5" s="23" t="s">
        <v>85</v>
      </c>
      <c r="I5" s="23" t="s">
        <v>95</v>
      </c>
      <c r="J5" s="23" t="s">
        <v>96</v>
      </c>
      <c r="L5" s="1"/>
    </row>
    <row r="6" spans="1:26" x14ac:dyDescent="0.3">
      <c r="A6" s="1"/>
      <c r="C6" s="33">
        <v>1</v>
      </c>
      <c r="D6" s="34">
        <v>43647</v>
      </c>
      <c r="E6" t="s">
        <v>88</v>
      </c>
      <c r="F6" s="34">
        <v>43662</v>
      </c>
      <c r="G6" s="23">
        <v>12375</v>
      </c>
      <c r="H6" s="23">
        <v>2351.25</v>
      </c>
      <c r="I6" s="23"/>
      <c r="J6" s="23">
        <v>14726.25</v>
      </c>
      <c r="L6" s="1"/>
    </row>
    <row r="7" spans="1:26" x14ac:dyDescent="0.3">
      <c r="A7" s="1"/>
      <c r="C7" s="33">
        <v>2</v>
      </c>
      <c r="D7" s="34">
        <v>43661</v>
      </c>
      <c r="E7" t="s">
        <v>193</v>
      </c>
      <c r="F7" s="34">
        <v>43721</v>
      </c>
      <c r="G7" s="23">
        <v>125000</v>
      </c>
      <c r="H7" s="23">
        <v>23750</v>
      </c>
      <c r="I7" s="23"/>
      <c r="J7" s="23">
        <v>148750</v>
      </c>
      <c r="L7" s="1"/>
    </row>
    <row r="8" spans="1:26" x14ac:dyDescent="0.3">
      <c r="A8" s="1"/>
      <c r="C8" s="33">
        <v>3</v>
      </c>
      <c r="D8" s="34">
        <v>43689</v>
      </c>
      <c r="E8" t="s">
        <v>89</v>
      </c>
      <c r="F8" s="34">
        <v>43719</v>
      </c>
      <c r="G8" s="23">
        <v>177840</v>
      </c>
      <c r="H8" s="23">
        <v>33789.599999999999</v>
      </c>
      <c r="I8" s="23"/>
      <c r="J8" s="23">
        <v>211629.6</v>
      </c>
      <c r="L8" s="1"/>
    </row>
    <row r="9" spans="1:26" x14ac:dyDescent="0.3">
      <c r="A9" s="1"/>
      <c r="C9" s="33">
        <v>8</v>
      </c>
      <c r="D9" s="34">
        <v>43661</v>
      </c>
      <c r="E9" t="s">
        <v>196</v>
      </c>
      <c r="F9" s="34">
        <v>43676</v>
      </c>
      <c r="G9" s="23">
        <v>88200</v>
      </c>
      <c r="H9" s="23">
        <v>16758</v>
      </c>
      <c r="I9" s="23"/>
      <c r="J9" s="23">
        <v>104958</v>
      </c>
      <c r="L9" s="1"/>
    </row>
    <row r="10" spans="1:26" x14ac:dyDescent="0.3">
      <c r="A10" s="1"/>
      <c r="C10" s="33">
        <v>9</v>
      </c>
      <c r="D10" s="34">
        <v>43647</v>
      </c>
      <c r="E10" t="s">
        <v>88</v>
      </c>
      <c r="F10" s="34">
        <v>43707</v>
      </c>
      <c r="G10" s="23">
        <v>432000</v>
      </c>
      <c r="H10" s="23">
        <v>82080</v>
      </c>
      <c r="I10" s="23"/>
      <c r="J10" s="23">
        <v>514080</v>
      </c>
      <c r="L10" s="1"/>
    </row>
    <row r="11" spans="1:26" x14ac:dyDescent="0.3">
      <c r="A11" s="1"/>
      <c r="C11" s="33">
        <v>10.9</v>
      </c>
      <c r="D11" s="34">
        <v>43689</v>
      </c>
      <c r="E11" t="s">
        <v>195</v>
      </c>
      <c r="F11" s="34">
        <v>43719</v>
      </c>
      <c r="G11" s="23">
        <v>69849</v>
      </c>
      <c r="H11" s="23">
        <v>13271.31</v>
      </c>
      <c r="I11" s="23"/>
      <c r="J11" s="23">
        <v>83120.31</v>
      </c>
      <c r="L11" s="1"/>
    </row>
    <row r="12" spans="1:26" x14ac:dyDescent="0.3">
      <c r="A12" s="1"/>
      <c r="C12" s="33">
        <v>13</v>
      </c>
      <c r="D12" s="34">
        <v>43647</v>
      </c>
      <c r="E12" t="s">
        <v>198</v>
      </c>
      <c r="F12" s="34">
        <v>43737</v>
      </c>
      <c r="G12" s="23">
        <v>6193.75</v>
      </c>
      <c r="H12" s="23">
        <v>1176.8125</v>
      </c>
      <c r="I12" s="23"/>
      <c r="J12" s="23">
        <v>7370.5625</v>
      </c>
      <c r="L12" s="1"/>
    </row>
    <row r="13" spans="1:26" x14ac:dyDescent="0.3">
      <c r="A13" s="1"/>
      <c r="C13" s="33">
        <v>15.1</v>
      </c>
      <c r="D13" s="34">
        <v>43661</v>
      </c>
      <c r="E13" t="s">
        <v>191</v>
      </c>
      <c r="F13" s="34">
        <v>43721</v>
      </c>
      <c r="G13" s="23">
        <v>3206</v>
      </c>
      <c r="H13" s="23">
        <v>609.14</v>
      </c>
      <c r="I13" s="23"/>
      <c r="J13" s="23">
        <v>3815.14</v>
      </c>
      <c r="L13" s="1"/>
    </row>
    <row r="14" spans="1:26" x14ac:dyDescent="0.3">
      <c r="A14" s="1"/>
      <c r="C14" s="33">
        <v>17.2</v>
      </c>
      <c r="D14" s="34">
        <v>43689</v>
      </c>
      <c r="E14" t="s">
        <v>88</v>
      </c>
      <c r="F14" s="34">
        <v>43719</v>
      </c>
      <c r="G14" s="23">
        <v>36712.17</v>
      </c>
      <c r="H14" s="23">
        <v>6975.3122999999996</v>
      </c>
      <c r="I14" s="23"/>
      <c r="J14" s="23">
        <v>43687.482299999996</v>
      </c>
      <c r="L14" s="1"/>
    </row>
    <row r="15" spans="1:26" x14ac:dyDescent="0.3">
      <c r="A15" s="1"/>
      <c r="C15" s="33">
        <v>19.3</v>
      </c>
      <c r="D15" s="34">
        <v>43647</v>
      </c>
      <c r="E15" t="s">
        <v>192</v>
      </c>
      <c r="F15" s="34">
        <v>43737</v>
      </c>
      <c r="G15" s="23">
        <v>6300</v>
      </c>
      <c r="H15" s="23">
        <v>1197</v>
      </c>
      <c r="I15" s="23"/>
      <c r="J15" s="23">
        <v>7497</v>
      </c>
      <c r="L15" s="1"/>
    </row>
    <row r="16" spans="1:26" x14ac:dyDescent="0.3">
      <c r="A16" s="1"/>
      <c r="C16" s="33">
        <v>21.4</v>
      </c>
      <c r="D16" s="34">
        <v>43661</v>
      </c>
      <c r="E16" t="s">
        <v>89</v>
      </c>
      <c r="F16" s="34">
        <v>43721</v>
      </c>
      <c r="G16" s="23">
        <v>1138176</v>
      </c>
      <c r="H16" s="23">
        <v>216253.44</v>
      </c>
      <c r="I16" s="23"/>
      <c r="J16" s="23">
        <v>1354429.4399999999</v>
      </c>
      <c r="L16" s="1"/>
    </row>
    <row r="17" spans="1:12" x14ac:dyDescent="0.3">
      <c r="A17" s="1"/>
      <c r="C17" s="33">
        <v>23.5</v>
      </c>
      <c r="D17" s="34">
        <v>43689</v>
      </c>
      <c r="E17" t="s">
        <v>88</v>
      </c>
      <c r="F17" s="34">
        <v>43719</v>
      </c>
      <c r="G17" s="23">
        <v>255312</v>
      </c>
      <c r="H17" s="23">
        <v>48509.279999999999</v>
      </c>
      <c r="I17" s="23"/>
      <c r="J17" s="23">
        <v>303821.28000000003</v>
      </c>
      <c r="L17" s="1"/>
    </row>
    <row r="18" spans="1:12" x14ac:dyDescent="0.3">
      <c r="A18" s="1"/>
      <c r="C18" s="33">
        <v>25.6</v>
      </c>
      <c r="D18" s="34">
        <v>43647</v>
      </c>
      <c r="E18" t="s">
        <v>191</v>
      </c>
      <c r="F18" s="34">
        <v>43707</v>
      </c>
      <c r="G18" s="23">
        <v>1137500</v>
      </c>
      <c r="H18" s="23">
        <v>216125</v>
      </c>
      <c r="I18" s="23"/>
      <c r="J18" s="23">
        <v>1353625</v>
      </c>
      <c r="L18" s="1"/>
    </row>
    <row r="19" spans="1:12" x14ac:dyDescent="0.3">
      <c r="A19" s="1"/>
      <c r="C19" s="33">
        <v>27.7</v>
      </c>
      <c r="D19" s="34">
        <v>43661</v>
      </c>
      <c r="E19" t="s">
        <v>194</v>
      </c>
      <c r="F19" s="34">
        <v>43751</v>
      </c>
      <c r="G19" s="23">
        <v>3311559</v>
      </c>
      <c r="H19" s="23">
        <v>629196.21</v>
      </c>
      <c r="I19" s="23"/>
      <c r="J19" s="23">
        <v>3940755.21</v>
      </c>
      <c r="L19" s="1"/>
    </row>
    <row r="20" spans="1:12" x14ac:dyDescent="0.3">
      <c r="A20" s="1"/>
      <c r="C20" s="33">
        <v>29.8</v>
      </c>
      <c r="D20" s="34">
        <v>43689</v>
      </c>
      <c r="E20" t="s">
        <v>197</v>
      </c>
      <c r="F20" s="34">
        <v>43719</v>
      </c>
      <c r="G20" s="23">
        <v>1484.518</v>
      </c>
      <c r="H20" s="23">
        <v>282.05842000000001</v>
      </c>
      <c r="I20" s="23"/>
      <c r="J20" s="23">
        <v>1766.5764200000001</v>
      </c>
      <c r="L20" s="1"/>
    </row>
    <row r="21" spans="1:12" x14ac:dyDescent="0.3">
      <c r="A21" s="1"/>
      <c r="C21" s="33">
        <v>31.9</v>
      </c>
      <c r="D21" s="34">
        <v>43647</v>
      </c>
      <c r="E21" t="s">
        <v>88</v>
      </c>
      <c r="F21" s="34">
        <v>43737</v>
      </c>
      <c r="G21" s="23">
        <v>12900</v>
      </c>
      <c r="H21" s="23">
        <v>2451</v>
      </c>
      <c r="I21" s="23"/>
      <c r="J21" s="23">
        <v>15351</v>
      </c>
      <c r="L21" s="1"/>
    </row>
    <row r="22" spans="1:12" x14ac:dyDescent="0.3">
      <c r="A22" s="1"/>
      <c r="C22" s="33" t="s">
        <v>93</v>
      </c>
      <c r="D22"/>
      <c r="E22"/>
      <c r="F22"/>
      <c r="G22" s="23">
        <v>6814607.4380000001</v>
      </c>
      <c r="H22" s="23">
        <v>1294775.4132199998</v>
      </c>
      <c r="I22" s="23"/>
      <c r="J22" s="23">
        <v>8109382.8512199996</v>
      </c>
      <c r="L22" s="1"/>
    </row>
    <row r="23" spans="1:12" x14ac:dyDescent="0.3">
      <c r="A23" s="1"/>
      <c r="C23"/>
      <c r="D23"/>
      <c r="E23"/>
      <c r="F23"/>
      <c r="G23"/>
      <c r="H23"/>
      <c r="I23"/>
      <c r="J23"/>
      <c r="L23" s="1"/>
    </row>
    <row r="24" spans="1:12" x14ac:dyDescent="0.3">
      <c r="A24" s="1"/>
      <c r="C24"/>
      <c r="D24"/>
      <c r="E24"/>
      <c r="F24"/>
      <c r="G24"/>
      <c r="H24"/>
      <c r="I24"/>
      <c r="J24"/>
      <c r="L24" s="1"/>
    </row>
    <row r="25" spans="1:12" x14ac:dyDescent="0.3">
      <c r="A25" s="1"/>
      <c r="C25"/>
      <c r="D25"/>
      <c r="E25"/>
      <c r="F25"/>
      <c r="G25"/>
      <c r="H25"/>
      <c r="I25"/>
      <c r="J25"/>
      <c r="L25" s="1"/>
    </row>
    <row r="26" spans="1:12" x14ac:dyDescent="0.3">
      <c r="A26" s="1"/>
      <c r="C26"/>
      <c r="D26"/>
      <c r="E26"/>
      <c r="F26"/>
      <c r="G26"/>
      <c r="H26"/>
      <c r="I26"/>
      <c r="J26"/>
      <c r="L26" s="1"/>
    </row>
    <row r="27" spans="1:12" x14ac:dyDescent="0.3">
      <c r="A27" s="1"/>
      <c r="C27"/>
      <c r="D27"/>
      <c r="E27"/>
      <c r="F27"/>
      <c r="G27"/>
      <c r="H27"/>
      <c r="I27"/>
      <c r="J27"/>
      <c r="L27" s="1"/>
    </row>
    <row r="28" spans="1:12" x14ac:dyDescent="0.3">
      <c r="A28" s="1"/>
      <c r="C28"/>
      <c r="D28"/>
      <c r="E28"/>
      <c r="F28"/>
      <c r="G28"/>
      <c r="H28"/>
      <c r="I28"/>
      <c r="J28"/>
      <c r="L28" s="1"/>
    </row>
    <row r="29" spans="1:12" x14ac:dyDescent="0.3">
      <c r="A29" s="1"/>
      <c r="C29"/>
      <c r="D29"/>
      <c r="E29"/>
      <c r="F29"/>
      <c r="G29"/>
      <c r="H29"/>
      <c r="I29"/>
      <c r="J29"/>
      <c r="L29" s="1"/>
    </row>
    <row r="30" spans="1:12" x14ac:dyDescent="0.3">
      <c r="A30" s="1"/>
      <c r="C30"/>
      <c r="D30"/>
      <c r="E30"/>
      <c r="F30"/>
      <c r="G30"/>
      <c r="H30"/>
      <c r="I30"/>
      <c r="J30"/>
      <c r="L30" s="1"/>
    </row>
    <row r="31" spans="1:12" x14ac:dyDescent="0.3">
      <c r="A31" s="1"/>
      <c r="C31"/>
      <c r="D31"/>
      <c r="E31"/>
      <c r="F31"/>
      <c r="G31"/>
      <c r="H31"/>
      <c r="I31"/>
      <c r="J31"/>
      <c r="L31" s="1"/>
    </row>
    <row r="32" spans="1:12" x14ac:dyDescent="0.3">
      <c r="A32" s="1"/>
      <c r="C32"/>
      <c r="D32"/>
      <c r="E32"/>
      <c r="F32"/>
      <c r="G32"/>
      <c r="H32"/>
      <c r="I32"/>
      <c r="J32"/>
      <c r="L32" s="1"/>
    </row>
    <row r="33" spans="1:12" x14ac:dyDescent="0.3">
      <c r="A33" s="1"/>
      <c r="C33"/>
      <c r="D33"/>
      <c r="E33"/>
      <c r="F33"/>
      <c r="G33"/>
      <c r="H33"/>
      <c r="I33"/>
      <c r="J33"/>
      <c r="L33" s="1"/>
    </row>
    <row r="34" spans="1:12" x14ac:dyDescent="0.3">
      <c r="A34" s="1"/>
      <c r="C34"/>
      <c r="D34"/>
      <c r="E34"/>
      <c r="F34"/>
      <c r="G34"/>
      <c r="H34"/>
      <c r="I34"/>
      <c r="J34"/>
      <c r="L34" s="1"/>
    </row>
    <row r="35" spans="1:12" x14ac:dyDescent="0.3">
      <c r="A35" s="1"/>
      <c r="C35"/>
      <c r="D35"/>
      <c r="E35"/>
      <c r="F35"/>
      <c r="G35"/>
      <c r="H35"/>
      <c r="I35"/>
      <c r="J35"/>
      <c r="L35" s="1"/>
    </row>
    <row r="36" spans="1:12" x14ac:dyDescent="0.3">
      <c r="A36" s="1"/>
      <c r="C36"/>
      <c r="D36"/>
      <c r="E36"/>
      <c r="F36"/>
      <c r="G36"/>
      <c r="H36"/>
      <c r="I36"/>
      <c r="J36"/>
      <c r="L36" s="1"/>
    </row>
    <row r="37" spans="1:12" x14ac:dyDescent="0.3">
      <c r="A37" s="1"/>
      <c r="C37"/>
      <c r="D37"/>
      <c r="E37"/>
      <c r="F37"/>
      <c r="G37"/>
      <c r="H37"/>
      <c r="I37"/>
      <c r="J37"/>
      <c r="L37" s="1"/>
    </row>
    <row r="38" spans="1:12" x14ac:dyDescent="0.3">
      <c r="A38" s="1"/>
      <c r="C38"/>
      <c r="D38"/>
      <c r="E38"/>
      <c r="F38"/>
      <c r="G38"/>
      <c r="H38"/>
      <c r="I38"/>
      <c r="J38"/>
      <c r="L38" s="1"/>
    </row>
    <row r="39" spans="1:12" x14ac:dyDescent="0.3">
      <c r="A39" s="1"/>
      <c r="C39"/>
      <c r="D39"/>
      <c r="E39"/>
      <c r="F39"/>
      <c r="G39"/>
      <c r="H39"/>
      <c r="I39"/>
      <c r="J39"/>
      <c r="L39" s="1"/>
    </row>
    <row r="40" spans="1:12" x14ac:dyDescent="0.3">
      <c r="A40" s="1"/>
      <c r="C40"/>
      <c r="D40"/>
      <c r="E40"/>
      <c r="F40"/>
      <c r="G40"/>
      <c r="H40"/>
      <c r="I40"/>
      <c r="J40"/>
      <c r="L40" s="1"/>
    </row>
    <row r="41" spans="1:12" x14ac:dyDescent="0.3">
      <c r="A41" s="1"/>
      <c r="C41"/>
      <c r="D41"/>
      <c r="E41"/>
      <c r="F41"/>
      <c r="G41"/>
      <c r="H41"/>
      <c r="I41"/>
      <c r="J41"/>
      <c r="L41" s="1"/>
    </row>
    <row r="42" spans="1:12" x14ac:dyDescent="0.3">
      <c r="A42" s="1"/>
      <c r="C42"/>
      <c r="D42"/>
      <c r="E42"/>
      <c r="F42"/>
      <c r="G42"/>
      <c r="H42"/>
      <c r="I42"/>
      <c r="J42"/>
      <c r="L42" s="1"/>
    </row>
    <row r="43" spans="1:12" x14ac:dyDescent="0.3">
      <c r="A43" s="1"/>
      <c r="C43"/>
      <c r="D43"/>
      <c r="E43"/>
      <c r="F43"/>
      <c r="G43"/>
      <c r="H43"/>
      <c r="I43"/>
      <c r="J43"/>
      <c r="L43" s="1"/>
    </row>
    <row r="44" spans="1:12" x14ac:dyDescent="0.3">
      <c r="A44" s="1"/>
      <c r="C44"/>
      <c r="D44"/>
      <c r="E44"/>
      <c r="F44"/>
      <c r="G44"/>
      <c r="H44"/>
      <c r="I44"/>
      <c r="J44"/>
      <c r="L44" s="1"/>
    </row>
    <row r="45" spans="1:12" x14ac:dyDescent="0.3">
      <c r="A45" s="1"/>
      <c r="C45"/>
      <c r="D45"/>
      <c r="E45"/>
      <c r="F45"/>
      <c r="G45"/>
      <c r="H45"/>
      <c r="I45"/>
      <c r="J45"/>
      <c r="L45" s="1"/>
    </row>
    <row r="46" spans="1:12" x14ac:dyDescent="0.3">
      <c r="A46" s="1"/>
      <c r="C46"/>
      <c r="D46"/>
      <c r="E46"/>
      <c r="F46"/>
      <c r="G46"/>
      <c r="H46"/>
      <c r="I46"/>
      <c r="J46"/>
      <c r="L46" s="1"/>
    </row>
    <row r="47" spans="1:12" x14ac:dyDescent="0.3">
      <c r="A47" s="1"/>
      <c r="C47"/>
      <c r="D47"/>
      <c r="E47"/>
      <c r="F47"/>
      <c r="G47"/>
      <c r="H47"/>
      <c r="I47"/>
      <c r="J47"/>
      <c r="L47" s="1"/>
    </row>
    <row r="48" spans="1:12" x14ac:dyDescent="0.3">
      <c r="A48" s="1"/>
      <c r="C48"/>
      <c r="D48"/>
      <c r="E48"/>
      <c r="F48"/>
      <c r="G48"/>
      <c r="H48"/>
      <c r="I48"/>
      <c r="J48"/>
      <c r="L48" s="1"/>
    </row>
    <row r="49" spans="1:12" x14ac:dyDescent="0.3">
      <c r="A49" s="1"/>
      <c r="C49"/>
      <c r="D49"/>
      <c r="E49"/>
      <c r="F49"/>
      <c r="G49"/>
      <c r="H49"/>
      <c r="I49"/>
      <c r="J49"/>
      <c r="L49" s="1"/>
    </row>
    <row r="50" spans="1:12" x14ac:dyDescent="0.3">
      <c r="A50" s="1"/>
      <c r="C50"/>
      <c r="D50"/>
      <c r="E50"/>
      <c r="F50"/>
      <c r="G50"/>
      <c r="H50"/>
      <c r="I50"/>
      <c r="J50"/>
      <c r="L50" s="1"/>
    </row>
    <row r="51" spans="1:12" x14ac:dyDescent="0.3">
      <c r="A51" s="1"/>
      <c r="C51"/>
      <c r="D51"/>
      <c r="E51"/>
      <c r="F51"/>
      <c r="G51"/>
      <c r="H51"/>
      <c r="I51"/>
      <c r="J51"/>
      <c r="L51" s="1"/>
    </row>
    <row r="52" spans="1:12" x14ac:dyDescent="0.3">
      <c r="A52" s="1"/>
      <c r="C52"/>
      <c r="D52"/>
      <c r="E52"/>
      <c r="F52"/>
      <c r="G52"/>
      <c r="H52"/>
      <c r="I52"/>
      <c r="J52"/>
      <c r="L52" s="1"/>
    </row>
    <row r="53" spans="1:12" x14ac:dyDescent="0.3">
      <c r="A53" s="1"/>
      <c r="C53"/>
      <c r="D53"/>
      <c r="E53"/>
      <c r="F53"/>
      <c r="G53"/>
      <c r="H53"/>
      <c r="I53"/>
      <c r="J53"/>
      <c r="L53" s="1"/>
    </row>
    <row r="54" spans="1:12" x14ac:dyDescent="0.3">
      <c r="A54" s="1"/>
      <c r="C54"/>
      <c r="D54"/>
      <c r="E54"/>
      <c r="F54"/>
      <c r="G54"/>
      <c r="H54"/>
      <c r="I54"/>
      <c r="J54"/>
      <c r="L54" s="1"/>
    </row>
    <row r="55" spans="1:12" x14ac:dyDescent="0.3">
      <c r="A55" s="1"/>
      <c r="C55"/>
      <c r="D55"/>
      <c r="E55"/>
      <c r="F55"/>
      <c r="G55"/>
      <c r="H55"/>
      <c r="I55"/>
      <c r="J55"/>
      <c r="L55" s="1"/>
    </row>
    <row r="56" spans="1:12" x14ac:dyDescent="0.3">
      <c r="A56" s="1"/>
      <c r="C56"/>
      <c r="D56"/>
      <c r="E56"/>
      <c r="F56"/>
      <c r="G56"/>
      <c r="H56"/>
      <c r="I56"/>
      <c r="J56"/>
      <c r="L56" s="1"/>
    </row>
    <row r="57" spans="1:12" x14ac:dyDescent="0.3">
      <c r="A57" s="1"/>
      <c r="C57"/>
      <c r="D57"/>
      <c r="E57"/>
      <c r="F57"/>
      <c r="G57"/>
      <c r="H57"/>
      <c r="I57"/>
      <c r="J57"/>
      <c r="L57" s="1"/>
    </row>
    <row r="58" spans="1:12" x14ac:dyDescent="0.3">
      <c r="A58" s="1"/>
      <c r="C58"/>
      <c r="D58"/>
      <c r="E58"/>
      <c r="F58"/>
      <c r="G58"/>
      <c r="H58"/>
      <c r="I58"/>
      <c r="J58"/>
      <c r="L58" s="1"/>
    </row>
    <row r="59" spans="1:12" x14ac:dyDescent="0.3">
      <c r="A59" s="1"/>
      <c r="C59"/>
      <c r="D59"/>
      <c r="E59"/>
      <c r="F59"/>
      <c r="G59"/>
      <c r="H59"/>
      <c r="I59"/>
      <c r="J59"/>
      <c r="L59" s="1"/>
    </row>
    <row r="60" spans="1:12" x14ac:dyDescent="0.3">
      <c r="A60" s="1"/>
      <c r="C60"/>
      <c r="D60"/>
      <c r="E60"/>
      <c r="F60"/>
      <c r="G60"/>
      <c r="H60"/>
      <c r="I60"/>
      <c r="J60"/>
      <c r="L60" s="1"/>
    </row>
    <row r="61" spans="1:12" x14ac:dyDescent="0.3">
      <c r="A61" s="1"/>
      <c r="C61"/>
      <c r="D61"/>
      <c r="E61"/>
      <c r="F61"/>
      <c r="G61"/>
      <c r="H61"/>
      <c r="I61"/>
      <c r="J61"/>
      <c r="L61" s="1"/>
    </row>
    <row r="62" spans="1:12" x14ac:dyDescent="0.3">
      <c r="A62" s="1"/>
      <c r="C62"/>
      <c r="D62"/>
      <c r="E62"/>
      <c r="F62"/>
      <c r="G62"/>
      <c r="H62"/>
      <c r="I62"/>
      <c r="J62"/>
      <c r="L62" s="1"/>
    </row>
    <row r="63" spans="1:12" x14ac:dyDescent="0.3">
      <c r="A63" s="1"/>
      <c r="C63"/>
      <c r="D63"/>
      <c r="E63"/>
      <c r="F63"/>
      <c r="G63"/>
      <c r="H63"/>
      <c r="I63"/>
      <c r="J63"/>
      <c r="L63" s="1"/>
    </row>
    <row r="64" spans="1:12" x14ac:dyDescent="0.3">
      <c r="A64" s="1"/>
      <c r="C64"/>
      <c r="D64"/>
      <c r="E64"/>
      <c r="F64"/>
      <c r="G64"/>
      <c r="H64"/>
      <c r="I64"/>
      <c r="J64"/>
      <c r="L64" s="1"/>
    </row>
    <row r="65" spans="1:12" x14ac:dyDescent="0.3">
      <c r="A65" s="1"/>
      <c r="C65"/>
      <c r="D65"/>
      <c r="E65"/>
      <c r="F65"/>
      <c r="G65"/>
      <c r="H65"/>
      <c r="I65"/>
      <c r="J65"/>
      <c r="L65" s="1"/>
    </row>
    <row r="66" spans="1:12" x14ac:dyDescent="0.3">
      <c r="A66" s="1"/>
      <c r="C66"/>
      <c r="D66"/>
      <c r="E66"/>
      <c r="F66"/>
      <c r="G66"/>
      <c r="H66"/>
      <c r="I66"/>
      <c r="J66"/>
      <c r="L66" s="1"/>
    </row>
    <row r="67" spans="1:12" x14ac:dyDescent="0.3">
      <c r="A67" s="1"/>
      <c r="C67"/>
      <c r="D67"/>
      <c r="E67"/>
      <c r="F67"/>
      <c r="G67"/>
      <c r="H67"/>
      <c r="I67"/>
      <c r="J67"/>
      <c r="L67" s="1"/>
    </row>
    <row r="68" spans="1:12" x14ac:dyDescent="0.3">
      <c r="A68" s="1"/>
      <c r="C68"/>
      <c r="D68"/>
      <c r="E68"/>
      <c r="F68"/>
      <c r="G68"/>
      <c r="H68"/>
      <c r="I68"/>
      <c r="J68"/>
      <c r="L68" s="1"/>
    </row>
    <row r="69" spans="1:12" x14ac:dyDescent="0.3">
      <c r="A69" s="1"/>
      <c r="C69"/>
      <c r="D69"/>
      <c r="E69"/>
      <c r="F69"/>
      <c r="G69"/>
      <c r="H69"/>
      <c r="I69"/>
      <c r="J69"/>
      <c r="L69" s="1"/>
    </row>
    <row r="70" spans="1:12" x14ac:dyDescent="0.3">
      <c r="A70" s="1"/>
      <c r="C70"/>
      <c r="D70"/>
      <c r="E70"/>
      <c r="F70"/>
      <c r="G70"/>
      <c r="H70"/>
      <c r="I70"/>
      <c r="J70"/>
      <c r="L70" s="1"/>
    </row>
    <row r="71" spans="1:12" x14ac:dyDescent="0.3">
      <c r="A71" s="1"/>
      <c r="L71" s="1"/>
    </row>
    <row r="72" spans="1:12" x14ac:dyDescent="0.3">
      <c r="A72" s="1"/>
      <c r="L72" s="1"/>
    </row>
    <row r="73" spans="1:12" x14ac:dyDescent="0.3">
      <c r="A73" s="1"/>
      <c r="L73" s="1"/>
    </row>
    <row r="74" spans="1:12" x14ac:dyDescent="0.3">
      <c r="A74" s="1"/>
      <c r="L74" s="1"/>
    </row>
    <row r="75" spans="1:12" x14ac:dyDescent="0.3">
      <c r="A75" s="1"/>
      <c r="L75" s="1"/>
    </row>
    <row r="76" spans="1:12" x14ac:dyDescent="0.3">
      <c r="A76" s="1"/>
      <c r="L76" s="1"/>
    </row>
    <row r="77" spans="1:12" x14ac:dyDescent="0.3">
      <c r="A77" s="1"/>
      <c r="L77" s="1"/>
    </row>
    <row r="78" spans="1:12" x14ac:dyDescent="0.3">
      <c r="A78" s="1"/>
      <c r="L78" s="1"/>
    </row>
    <row r="79" spans="1:12" x14ac:dyDescent="0.3">
      <c r="A79" s="1"/>
      <c r="L79" s="1"/>
    </row>
    <row r="80" spans="1:12" x14ac:dyDescent="0.3">
      <c r="A80" s="1"/>
      <c r="L80" s="1"/>
    </row>
    <row r="81" spans="1:12" x14ac:dyDescent="0.3">
      <c r="A81" s="1"/>
      <c r="L81" s="1"/>
    </row>
    <row r="82" spans="1:12" x14ac:dyDescent="0.3">
      <c r="A82" s="1"/>
      <c r="L82" s="1"/>
    </row>
    <row r="83" spans="1:12" x14ac:dyDescent="0.3">
      <c r="A83" s="1"/>
      <c r="L83" s="1"/>
    </row>
    <row r="84" spans="1:12" x14ac:dyDescent="0.3">
      <c r="A84" s="1"/>
      <c r="L84" s="1"/>
    </row>
    <row r="85" spans="1:12" x14ac:dyDescent="0.3">
      <c r="A85" s="1"/>
      <c r="L85" s="1"/>
    </row>
    <row r="86" spans="1:12" x14ac:dyDescent="0.3">
      <c r="A86" s="1"/>
      <c r="L86" s="1"/>
    </row>
    <row r="87" spans="1:12" x14ac:dyDescent="0.3">
      <c r="A87" s="1"/>
      <c r="L87" s="1"/>
    </row>
    <row r="88" spans="1:12" x14ac:dyDescent="0.3">
      <c r="A88" s="1"/>
      <c r="L88" s="1"/>
    </row>
    <row r="89" spans="1:12" x14ac:dyDescent="0.3">
      <c r="A89" s="1"/>
      <c r="L89" s="1"/>
    </row>
    <row r="90" spans="1:12" x14ac:dyDescent="0.3">
      <c r="A90" s="1"/>
      <c r="L90" s="1"/>
    </row>
    <row r="91" spans="1:12" x14ac:dyDescent="0.3">
      <c r="A91" s="1"/>
      <c r="L91" s="1"/>
    </row>
    <row r="92" spans="1:12" x14ac:dyDescent="0.3">
      <c r="A92" s="1"/>
      <c r="L92" s="1"/>
    </row>
    <row r="93" spans="1:12" x14ac:dyDescent="0.3">
      <c r="A93" s="1"/>
      <c r="L93" s="1"/>
    </row>
    <row r="94" spans="1:12" x14ac:dyDescent="0.3">
      <c r="A94" s="1"/>
      <c r="L94" s="1"/>
    </row>
    <row r="95" spans="1:12" x14ac:dyDescent="0.3">
      <c r="A95" s="1"/>
      <c r="L95" s="1"/>
    </row>
    <row r="96" spans="1:12" x14ac:dyDescent="0.3">
      <c r="A96" s="1"/>
      <c r="L96" s="1"/>
    </row>
    <row r="97" spans="1:12" x14ac:dyDescent="0.3">
      <c r="A97" s="1"/>
      <c r="L97" s="1"/>
    </row>
    <row r="98" spans="1:12" x14ac:dyDescent="0.3">
      <c r="A98" s="1"/>
      <c r="L98" s="1"/>
    </row>
    <row r="99" spans="1:12" x14ac:dyDescent="0.3">
      <c r="A99" s="1"/>
      <c r="L99" s="1"/>
    </row>
    <row r="100" spans="1:12" x14ac:dyDescent="0.3">
      <c r="A100" s="1"/>
      <c r="L100" s="1"/>
    </row>
    <row r="101" spans="1:12" x14ac:dyDescent="0.3">
      <c r="A101" s="1"/>
      <c r="L101" s="1"/>
    </row>
    <row r="102" spans="1:12" x14ac:dyDescent="0.3">
      <c r="A102" s="1"/>
      <c r="L102" s="1"/>
    </row>
    <row r="103" spans="1:12" x14ac:dyDescent="0.3">
      <c r="A103" s="1"/>
      <c r="L103" s="1"/>
    </row>
    <row r="104" spans="1:12" x14ac:dyDescent="0.3">
      <c r="A104" s="1"/>
      <c r="L104" s="1"/>
    </row>
    <row r="105" spans="1:12" x14ac:dyDescent="0.3">
      <c r="A105" s="1"/>
      <c r="L105" s="1"/>
    </row>
    <row r="106" spans="1:12" x14ac:dyDescent="0.3">
      <c r="A106" s="1"/>
      <c r="L106" s="1"/>
    </row>
    <row r="107" spans="1:12" x14ac:dyDescent="0.3">
      <c r="A107" s="1"/>
      <c r="L107" s="1"/>
    </row>
    <row r="108" spans="1:12" x14ac:dyDescent="0.3">
      <c r="A108" s="1"/>
      <c r="L108" s="1"/>
    </row>
    <row r="109" spans="1:12" x14ac:dyDescent="0.3">
      <c r="A109" s="1"/>
      <c r="L109" s="1"/>
    </row>
    <row r="110" spans="1:12" x14ac:dyDescent="0.3">
      <c r="A110" s="1"/>
      <c r="L110" s="1"/>
    </row>
    <row r="111" spans="1:12" x14ac:dyDescent="0.3">
      <c r="A111" s="1"/>
      <c r="L111" s="1"/>
    </row>
    <row r="112" spans="1:12" x14ac:dyDescent="0.3">
      <c r="A112" s="1"/>
      <c r="L112" s="1"/>
    </row>
    <row r="113" spans="1:12" x14ac:dyDescent="0.3">
      <c r="A113" s="1"/>
      <c r="L113" s="1"/>
    </row>
    <row r="114" spans="1:12" x14ac:dyDescent="0.3">
      <c r="A114" s="1"/>
      <c r="L114" s="1"/>
    </row>
    <row r="115" spans="1:12" x14ac:dyDescent="0.3">
      <c r="A115" s="1"/>
      <c r="L115" s="1"/>
    </row>
    <row r="116" spans="1:12" x14ac:dyDescent="0.3">
      <c r="A116" s="1"/>
      <c r="L116" s="1"/>
    </row>
    <row r="117" spans="1:12" x14ac:dyDescent="0.3">
      <c r="A117" s="1"/>
      <c r="L117" s="1"/>
    </row>
    <row r="118" spans="1:12" x14ac:dyDescent="0.3">
      <c r="A118" s="1"/>
      <c r="L118" s="1"/>
    </row>
    <row r="119" spans="1:12" x14ac:dyDescent="0.3">
      <c r="A119" s="1"/>
      <c r="L119" s="1"/>
    </row>
    <row r="120" spans="1:12" x14ac:dyDescent="0.3">
      <c r="A120" s="1"/>
      <c r="L120" s="1"/>
    </row>
    <row r="121" spans="1:12" x14ac:dyDescent="0.3">
      <c r="A121" s="1"/>
      <c r="L121" s="1"/>
    </row>
    <row r="122" spans="1:12" x14ac:dyDescent="0.3">
      <c r="A122" s="1"/>
      <c r="L122" s="1"/>
    </row>
    <row r="123" spans="1:12" x14ac:dyDescent="0.3">
      <c r="A123" s="1"/>
      <c r="L123" s="1"/>
    </row>
    <row r="124" spans="1:12" x14ac:dyDescent="0.3">
      <c r="A124" s="1"/>
      <c r="L124" s="1"/>
    </row>
    <row r="125" spans="1:12" x14ac:dyDescent="0.3">
      <c r="A125" s="1"/>
      <c r="L125" s="1"/>
    </row>
    <row r="126" spans="1:12" x14ac:dyDescent="0.3">
      <c r="A126" s="1"/>
      <c r="L126" s="1"/>
    </row>
    <row r="127" spans="1:12" x14ac:dyDescent="0.3">
      <c r="A127" s="1"/>
      <c r="L127" s="1"/>
    </row>
    <row r="128" spans="1:12" x14ac:dyDescent="0.3">
      <c r="A128" s="1"/>
      <c r="L128" s="1"/>
    </row>
    <row r="129" spans="1:12" x14ac:dyDescent="0.3">
      <c r="A129" s="1"/>
      <c r="L129" s="1"/>
    </row>
    <row r="130" spans="1:12" x14ac:dyDescent="0.3">
      <c r="A130" s="1"/>
      <c r="L130" s="1"/>
    </row>
    <row r="131" spans="1:12" x14ac:dyDescent="0.3">
      <c r="A131" s="1"/>
      <c r="L131" s="1"/>
    </row>
    <row r="132" spans="1:12" x14ac:dyDescent="0.3">
      <c r="A132" s="1"/>
      <c r="L132" s="1"/>
    </row>
    <row r="133" spans="1:12" x14ac:dyDescent="0.3">
      <c r="A133" s="1"/>
      <c r="L133" s="1"/>
    </row>
    <row r="134" spans="1:12" x14ac:dyDescent="0.3">
      <c r="A134" s="1"/>
      <c r="L134" s="1"/>
    </row>
    <row r="135" spans="1:12" x14ac:dyDescent="0.3">
      <c r="A135" s="1"/>
      <c r="L135" s="1"/>
    </row>
    <row r="136" spans="1:12" x14ac:dyDescent="0.3">
      <c r="A136" s="1"/>
      <c r="L136" s="1"/>
    </row>
    <row r="137" spans="1:12" x14ac:dyDescent="0.3">
      <c r="A137" s="1"/>
      <c r="L137" s="1"/>
    </row>
    <row r="138" spans="1:12" x14ac:dyDescent="0.3">
      <c r="A138" s="1"/>
      <c r="L138" s="1"/>
    </row>
    <row r="139" spans="1:12" x14ac:dyDescent="0.3">
      <c r="A139" s="1"/>
      <c r="L139" s="1"/>
    </row>
    <row r="140" spans="1:12" x14ac:dyDescent="0.3">
      <c r="A140" s="1"/>
      <c r="L140" s="1"/>
    </row>
    <row r="141" spans="1:12" x14ac:dyDescent="0.3">
      <c r="A141" s="1"/>
      <c r="L141" s="1"/>
    </row>
    <row r="142" spans="1:12" x14ac:dyDescent="0.3">
      <c r="A142" s="1"/>
      <c r="L142" s="1"/>
    </row>
    <row r="143" spans="1:12" x14ac:dyDescent="0.3">
      <c r="A143" s="1"/>
      <c r="L143" s="1"/>
    </row>
    <row r="144" spans="1:12" x14ac:dyDescent="0.3">
      <c r="A144" s="1"/>
      <c r="L144" s="1"/>
    </row>
    <row r="145" spans="1:12" x14ac:dyDescent="0.3">
      <c r="A145" s="1"/>
      <c r="L145" s="1"/>
    </row>
    <row r="146" spans="1:12" x14ac:dyDescent="0.3">
      <c r="A146" s="1"/>
      <c r="L146" s="1"/>
    </row>
    <row r="147" spans="1:12" x14ac:dyDescent="0.3">
      <c r="A147" s="1"/>
      <c r="L147" s="1"/>
    </row>
    <row r="148" spans="1:12" x14ac:dyDescent="0.3">
      <c r="A148" s="1"/>
      <c r="L148" s="1"/>
    </row>
    <row r="149" spans="1:12" x14ac:dyDescent="0.3">
      <c r="A149" s="1"/>
      <c r="L149" s="1"/>
    </row>
    <row r="150" spans="1:12" x14ac:dyDescent="0.3">
      <c r="A150" s="1"/>
      <c r="L150" s="1"/>
    </row>
    <row r="151" spans="1:12" x14ac:dyDescent="0.3">
      <c r="A151" s="1"/>
      <c r="L151" s="1"/>
    </row>
    <row r="152" spans="1:12" x14ac:dyDescent="0.3">
      <c r="A152" s="1"/>
      <c r="L152" s="1"/>
    </row>
    <row r="153" spans="1:12" x14ac:dyDescent="0.3">
      <c r="A153" s="1"/>
      <c r="L153" s="1"/>
    </row>
    <row r="154" spans="1:12" x14ac:dyDescent="0.3">
      <c r="A154" s="1"/>
      <c r="L154" s="1"/>
    </row>
    <row r="155" spans="1:12" x14ac:dyDescent="0.3">
      <c r="A155" s="1"/>
      <c r="L155" s="1"/>
    </row>
    <row r="156" spans="1:12" x14ac:dyDescent="0.3">
      <c r="A156" s="1"/>
      <c r="L156" s="1"/>
    </row>
    <row r="157" spans="1:12" x14ac:dyDescent="0.3">
      <c r="A157" s="1"/>
      <c r="L157" s="1"/>
    </row>
    <row r="158" spans="1:12" x14ac:dyDescent="0.3">
      <c r="A158" s="1"/>
      <c r="L158" s="1"/>
    </row>
    <row r="159" spans="1:12" x14ac:dyDescent="0.3">
      <c r="A159" s="1"/>
      <c r="L159" s="1"/>
    </row>
    <row r="160" spans="1:12" x14ac:dyDescent="0.3">
      <c r="A160" s="1"/>
      <c r="L160" s="1"/>
    </row>
    <row r="161" spans="1:12" x14ac:dyDescent="0.3">
      <c r="A161" s="1"/>
      <c r="L161" s="1"/>
    </row>
    <row r="162" spans="1:12" x14ac:dyDescent="0.3">
      <c r="A162" s="1"/>
      <c r="L162" s="1"/>
    </row>
    <row r="163" spans="1:12" x14ac:dyDescent="0.3">
      <c r="A163" s="1"/>
      <c r="L163" s="1"/>
    </row>
    <row r="164" spans="1:12" x14ac:dyDescent="0.3">
      <c r="A164" s="1"/>
      <c r="L164" s="1"/>
    </row>
    <row r="165" spans="1:12" x14ac:dyDescent="0.3">
      <c r="A165" s="1"/>
      <c r="L165" s="1"/>
    </row>
    <row r="166" spans="1:12" x14ac:dyDescent="0.3">
      <c r="A166" s="1"/>
      <c r="L166" s="1"/>
    </row>
    <row r="167" spans="1:12" x14ac:dyDescent="0.3">
      <c r="A167" s="1"/>
      <c r="L167" s="1"/>
    </row>
    <row r="168" spans="1:12" x14ac:dyDescent="0.3">
      <c r="A168" s="1"/>
      <c r="L168" s="1"/>
    </row>
    <row r="169" spans="1:12" x14ac:dyDescent="0.3">
      <c r="A169" s="1"/>
      <c r="L169" s="1"/>
    </row>
    <row r="170" spans="1:12" x14ac:dyDescent="0.3">
      <c r="A170" s="1"/>
      <c r="L170" s="1"/>
    </row>
    <row r="171" spans="1:12" x14ac:dyDescent="0.3">
      <c r="A171" s="1"/>
      <c r="L171" s="1"/>
    </row>
    <row r="172" spans="1:12" x14ac:dyDescent="0.3">
      <c r="A172" s="1"/>
      <c r="L172" s="1"/>
    </row>
    <row r="173" spans="1:12" x14ac:dyDescent="0.3">
      <c r="A173" s="1"/>
      <c r="L173" s="1"/>
    </row>
    <row r="174" spans="1:12" x14ac:dyDescent="0.3">
      <c r="A174" s="1"/>
      <c r="L174" s="1"/>
    </row>
    <row r="175" spans="1:12" x14ac:dyDescent="0.3">
      <c r="A175" s="1"/>
      <c r="L175" s="1"/>
    </row>
    <row r="176" spans="1:12" x14ac:dyDescent="0.3">
      <c r="A176" s="1"/>
      <c r="L176" s="1"/>
    </row>
    <row r="177" spans="1:12" x14ac:dyDescent="0.3">
      <c r="A177" s="1"/>
      <c r="L177" s="1"/>
    </row>
    <row r="178" spans="1:12" x14ac:dyDescent="0.3">
      <c r="A178" s="1"/>
      <c r="L178" s="1"/>
    </row>
    <row r="179" spans="1:12" x14ac:dyDescent="0.3">
      <c r="A179" s="1"/>
      <c r="L179" s="1"/>
    </row>
    <row r="180" spans="1:12" x14ac:dyDescent="0.3">
      <c r="A180" s="1"/>
      <c r="L180" s="1"/>
    </row>
    <row r="181" spans="1:12" x14ac:dyDescent="0.3">
      <c r="A181" s="1"/>
      <c r="L181" s="1"/>
    </row>
    <row r="182" spans="1:12" x14ac:dyDescent="0.3">
      <c r="A182" s="1"/>
      <c r="L182" s="1"/>
    </row>
    <row r="183" spans="1:12" x14ac:dyDescent="0.3">
      <c r="A183" s="1"/>
      <c r="L183" s="1"/>
    </row>
    <row r="184" spans="1:12" x14ac:dyDescent="0.3">
      <c r="A184" s="1"/>
      <c r="L184" s="1"/>
    </row>
    <row r="185" spans="1:12" x14ac:dyDescent="0.3">
      <c r="A185" s="1"/>
      <c r="L185" s="1"/>
    </row>
    <row r="186" spans="1:12" x14ac:dyDescent="0.3">
      <c r="A186" s="1"/>
      <c r="L186" s="1"/>
    </row>
    <row r="187" spans="1:12" x14ac:dyDescent="0.3">
      <c r="A187" s="1"/>
      <c r="L187" s="1"/>
    </row>
    <row r="188" spans="1:12" x14ac:dyDescent="0.3">
      <c r="A188" s="1"/>
      <c r="L188" s="1"/>
    </row>
    <row r="189" spans="1:12" x14ac:dyDescent="0.3">
      <c r="A189" s="1"/>
      <c r="L189" s="1"/>
    </row>
    <row r="190" spans="1:12" x14ac:dyDescent="0.3">
      <c r="A190" s="1"/>
      <c r="L190" s="1"/>
    </row>
    <row r="191" spans="1:12" x14ac:dyDescent="0.3">
      <c r="A191" s="1"/>
      <c r="L191" s="1"/>
    </row>
    <row r="192" spans="1:12" x14ac:dyDescent="0.3">
      <c r="A192" s="1"/>
      <c r="L192" s="1"/>
    </row>
    <row r="193" spans="1:12" x14ac:dyDescent="0.3">
      <c r="A193" s="1"/>
      <c r="L193" s="1"/>
    </row>
    <row r="194" spans="1:12" x14ac:dyDescent="0.3">
      <c r="A194" s="1"/>
      <c r="L194" s="1"/>
    </row>
    <row r="195" spans="1:12" x14ac:dyDescent="0.3">
      <c r="A195" s="1"/>
      <c r="L195" s="1"/>
    </row>
    <row r="196" spans="1:12" x14ac:dyDescent="0.3">
      <c r="A196" s="1"/>
      <c r="L196" s="1"/>
    </row>
    <row r="197" spans="1:12" x14ac:dyDescent="0.3">
      <c r="A197" s="1"/>
      <c r="L197" s="1"/>
    </row>
    <row r="198" spans="1:12" x14ac:dyDescent="0.3">
      <c r="A198" s="1"/>
      <c r="L198" s="1"/>
    </row>
    <row r="199" spans="1:12" x14ac:dyDescent="0.3">
      <c r="A199" s="1"/>
      <c r="L199" s="1"/>
    </row>
    <row r="200" spans="1:12" x14ac:dyDescent="0.3">
      <c r="A200" s="1"/>
      <c r="L200" s="1"/>
    </row>
    <row r="201" spans="1:12" x14ac:dyDescent="0.3">
      <c r="A201" s="1"/>
      <c r="L201" s="1"/>
    </row>
    <row r="202" spans="1:12" x14ac:dyDescent="0.3">
      <c r="A202" s="1"/>
      <c r="L202" s="1"/>
    </row>
    <row r="203" spans="1:12" x14ac:dyDescent="0.3">
      <c r="A203" s="1"/>
      <c r="L203" s="1"/>
    </row>
    <row r="204" spans="1:12" x14ac:dyDescent="0.3">
      <c r="A204" s="1"/>
      <c r="L204" s="1"/>
    </row>
    <row r="205" spans="1:12" x14ac:dyDescent="0.3">
      <c r="A205" s="1"/>
      <c r="L205" s="1"/>
    </row>
    <row r="206" spans="1:12" x14ac:dyDescent="0.3">
      <c r="A206" s="1"/>
      <c r="L206" s="1"/>
    </row>
    <row r="207" spans="1:12" x14ac:dyDescent="0.3">
      <c r="A207" s="1"/>
      <c r="L207" s="1"/>
    </row>
    <row r="208" spans="1:12" x14ac:dyDescent="0.3">
      <c r="A208" s="1"/>
      <c r="L208" s="1"/>
    </row>
    <row r="209" spans="1:12" x14ac:dyDescent="0.3">
      <c r="A209" s="1"/>
      <c r="L209" s="1"/>
    </row>
    <row r="210" spans="1:12" x14ac:dyDescent="0.3">
      <c r="A210" s="1"/>
      <c r="L210" s="1"/>
    </row>
    <row r="211" spans="1:12" x14ac:dyDescent="0.3">
      <c r="A211" s="1"/>
      <c r="L211" s="1"/>
    </row>
    <row r="212" spans="1:12" x14ac:dyDescent="0.3">
      <c r="A212" s="1"/>
      <c r="L212" s="1"/>
    </row>
    <row r="213" spans="1:12" x14ac:dyDescent="0.3">
      <c r="A213" s="1"/>
      <c r="L213" s="1"/>
    </row>
    <row r="214" spans="1:12" x14ac:dyDescent="0.3">
      <c r="A214" s="1"/>
      <c r="L214" s="1"/>
    </row>
    <row r="215" spans="1:12" x14ac:dyDescent="0.3">
      <c r="A215" s="1"/>
      <c r="L215" s="1"/>
    </row>
    <row r="216" spans="1:12" x14ac:dyDescent="0.3">
      <c r="A216" s="1"/>
      <c r="L216" s="1"/>
    </row>
    <row r="217" spans="1:12" x14ac:dyDescent="0.3">
      <c r="A217" s="1"/>
      <c r="L217" s="1"/>
    </row>
    <row r="218" spans="1:12" x14ac:dyDescent="0.3">
      <c r="A218" s="1"/>
      <c r="L218" s="1"/>
    </row>
    <row r="219" spans="1:12" x14ac:dyDescent="0.3">
      <c r="A219" s="1"/>
      <c r="L219" s="1"/>
    </row>
    <row r="220" spans="1:12" x14ac:dyDescent="0.3">
      <c r="A220" s="1"/>
      <c r="L220" s="1"/>
    </row>
    <row r="221" spans="1:12" x14ac:dyDescent="0.3">
      <c r="A221" s="1"/>
      <c r="L221" s="1"/>
    </row>
    <row r="222" spans="1:12" x14ac:dyDescent="0.3">
      <c r="A222" s="1"/>
      <c r="L222" s="1"/>
    </row>
    <row r="223" spans="1:12" x14ac:dyDescent="0.3">
      <c r="A223" s="1"/>
      <c r="L223" s="1"/>
    </row>
    <row r="224" spans="1:12" x14ac:dyDescent="0.3">
      <c r="A224" s="1"/>
      <c r="L224" s="1"/>
    </row>
    <row r="225" spans="1:12" x14ac:dyDescent="0.3">
      <c r="A225" s="1"/>
      <c r="L225" s="1"/>
    </row>
    <row r="226" spans="1:12" x14ac:dyDescent="0.3">
      <c r="A226" s="1"/>
      <c r="L226" s="1"/>
    </row>
    <row r="227" spans="1:12" x14ac:dyDescent="0.3">
      <c r="A227" s="1"/>
      <c r="L227" s="1"/>
    </row>
    <row r="228" spans="1:12" x14ac:dyDescent="0.3">
      <c r="A228" s="1"/>
      <c r="L228" s="1"/>
    </row>
    <row r="229" spans="1:12" x14ac:dyDescent="0.3">
      <c r="A229" s="1"/>
      <c r="L229" s="1"/>
    </row>
    <row r="230" spans="1:12" x14ac:dyDescent="0.3">
      <c r="A230" s="1"/>
      <c r="L230" s="1"/>
    </row>
    <row r="231" spans="1:12" x14ac:dyDescent="0.3">
      <c r="A231" s="1"/>
      <c r="L231" s="1"/>
    </row>
    <row r="232" spans="1:12" x14ac:dyDescent="0.3">
      <c r="A232" s="1"/>
      <c r="L232" s="1"/>
    </row>
    <row r="233" spans="1:12" x14ac:dyDescent="0.3">
      <c r="A233" s="1"/>
      <c r="L233" s="1"/>
    </row>
    <row r="234" spans="1:12" x14ac:dyDescent="0.3">
      <c r="A234" s="1"/>
      <c r="L234" s="1"/>
    </row>
    <row r="235" spans="1:12" x14ac:dyDescent="0.3">
      <c r="A235" s="1"/>
      <c r="L235" s="1"/>
    </row>
    <row r="236" spans="1:12" x14ac:dyDescent="0.3">
      <c r="A236" s="1"/>
      <c r="L236" s="1"/>
    </row>
    <row r="237" spans="1:12" x14ac:dyDescent="0.3">
      <c r="A237" s="1"/>
      <c r="L237" s="1"/>
    </row>
    <row r="238" spans="1:12" x14ac:dyDescent="0.3">
      <c r="A238" s="1"/>
      <c r="L238" s="1"/>
    </row>
    <row r="239" spans="1:12" x14ac:dyDescent="0.3">
      <c r="A239" s="1"/>
      <c r="L239" s="1"/>
    </row>
    <row r="240" spans="1:12" x14ac:dyDescent="0.3">
      <c r="A240" s="1"/>
      <c r="L240" s="1"/>
    </row>
    <row r="241" spans="1:12" x14ac:dyDescent="0.3">
      <c r="A241" s="1"/>
      <c r="L241" s="1"/>
    </row>
    <row r="242" spans="1:12" x14ac:dyDescent="0.3">
      <c r="A242" s="1"/>
      <c r="L242" s="1"/>
    </row>
    <row r="243" spans="1:12" x14ac:dyDescent="0.3">
      <c r="A243" s="1"/>
      <c r="L243" s="1"/>
    </row>
    <row r="244" spans="1:12" x14ac:dyDescent="0.3">
      <c r="A244" s="1"/>
      <c r="L244" s="1"/>
    </row>
    <row r="245" spans="1:12" x14ac:dyDescent="0.3">
      <c r="A245" s="1"/>
      <c r="L245" s="1"/>
    </row>
    <row r="246" spans="1:12" x14ac:dyDescent="0.3">
      <c r="A246" s="1"/>
      <c r="L246" s="1"/>
    </row>
    <row r="247" spans="1:12" x14ac:dyDescent="0.3">
      <c r="A247" s="1"/>
      <c r="L247" s="1"/>
    </row>
    <row r="248" spans="1:12" x14ac:dyDescent="0.3">
      <c r="A248" s="1"/>
      <c r="L248" s="1"/>
    </row>
    <row r="249" spans="1:12" x14ac:dyDescent="0.3">
      <c r="A249" s="1"/>
      <c r="L249" s="1"/>
    </row>
    <row r="250" spans="1:12" x14ac:dyDescent="0.3">
      <c r="A250" s="1"/>
      <c r="L250" s="1"/>
    </row>
    <row r="251" spans="1:12" x14ac:dyDescent="0.3">
      <c r="A251" s="1"/>
      <c r="L251" s="1"/>
    </row>
    <row r="252" spans="1:12" x14ac:dyDescent="0.3">
      <c r="A252" s="1"/>
      <c r="L252" s="1"/>
    </row>
    <row r="253" spans="1:12" x14ac:dyDescent="0.3">
      <c r="A253" s="1"/>
      <c r="L253" s="1"/>
    </row>
    <row r="254" spans="1:12" x14ac:dyDescent="0.3">
      <c r="A254" s="1"/>
      <c r="L254" s="1"/>
    </row>
    <row r="255" spans="1:12" x14ac:dyDescent="0.3">
      <c r="A255" s="1"/>
      <c r="L255" s="1"/>
    </row>
    <row r="256" spans="1:12" x14ac:dyDescent="0.3">
      <c r="A256" s="1"/>
      <c r="L256" s="1"/>
    </row>
    <row r="257" spans="1:12" x14ac:dyDescent="0.3">
      <c r="A257" s="1"/>
      <c r="L257" s="1"/>
    </row>
    <row r="258" spans="1:12" x14ac:dyDescent="0.3">
      <c r="A258" s="1"/>
      <c r="L258" s="1"/>
    </row>
    <row r="259" spans="1:12" x14ac:dyDescent="0.3">
      <c r="A259" s="1"/>
      <c r="L259" s="1"/>
    </row>
    <row r="260" spans="1:12" x14ac:dyDescent="0.3">
      <c r="A260" s="1"/>
      <c r="L260" s="1"/>
    </row>
    <row r="261" spans="1:12" x14ac:dyDescent="0.3">
      <c r="A261" s="1"/>
      <c r="L261" s="1"/>
    </row>
    <row r="262" spans="1:12" x14ac:dyDescent="0.3">
      <c r="A262" s="1"/>
      <c r="L262" s="1"/>
    </row>
    <row r="263" spans="1:12" x14ac:dyDescent="0.3">
      <c r="A263" s="1"/>
      <c r="L263" s="1"/>
    </row>
    <row r="264" spans="1:12" x14ac:dyDescent="0.3">
      <c r="A264" s="1"/>
      <c r="L264" s="1"/>
    </row>
    <row r="265" spans="1:12" x14ac:dyDescent="0.3">
      <c r="A265" s="1"/>
      <c r="L265" s="1"/>
    </row>
    <row r="266" spans="1:12" x14ac:dyDescent="0.3">
      <c r="A266" s="1"/>
      <c r="L266" s="1"/>
    </row>
    <row r="267" spans="1:12" x14ac:dyDescent="0.3">
      <c r="A267" s="1"/>
      <c r="L267" s="1"/>
    </row>
    <row r="268" spans="1:12" x14ac:dyDescent="0.3">
      <c r="A268" s="1"/>
      <c r="L268" s="1"/>
    </row>
    <row r="269" spans="1:12" x14ac:dyDescent="0.3">
      <c r="A269" s="1"/>
      <c r="L269" s="1"/>
    </row>
    <row r="270" spans="1:12" x14ac:dyDescent="0.3">
      <c r="A270" s="1"/>
      <c r="L270" s="1"/>
    </row>
    <row r="271" spans="1:12" x14ac:dyDescent="0.3">
      <c r="A271" s="1"/>
      <c r="L271" s="1"/>
    </row>
    <row r="272" spans="1:12" x14ac:dyDescent="0.3">
      <c r="A272" s="1"/>
      <c r="L272" s="1"/>
    </row>
    <row r="273" spans="1:12" x14ac:dyDescent="0.3">
      <c r="A273" s="1"/>
      <c r="L273" s="1"/>
    </row>
    <row r="274" spans="1:12" x14ac:dyDescent="0.3">
      <c r="A274" s="1"/>
      <c r="L274" s="1"/>
    </row>
    <row r="275" spans="1:12" x14ac:dyDescent="0.3">
      <c r="A275" s="1"/>
      <c r="L275" s="1"/>
    </row>
    <row r="276" spans="1:12" x14ac:dyDescent="0.3">
      <c r="A276" s="1"/>
      <c r="L276" s="1"/>
    </row>
    <row r="277" spans="1:12" x14ac:dyDescent="0.3">
      <c r="A277" s="1"/>
      <c r="L277" s="1"/>
    </row>
    <row r="278" spans="1:12" x14ac:dyDescent="0.3">
      <c r="A278" s="1"/>
      <c r="L278" s="1"/>
    </row>
    <row r="279" spans="1:12" x14ac:dyDescent="0.3">
      <c r="A279" s="1"/>
      <c r="L279" s="1"/>
    </row>
    <row r="280" spans="1:12" x14ac:dyDescent="0.3">
      <c r="A280" s="1"/>
      <c r="L280" s="1"/>
    </row>
    <row r="281" spans="1:12" x14ac:dyDescent="0.3">
      <c r="A281" s="1"/>
      <c r="L281" s="1"/>
    </row>
    <row r="282" spans="1:12" x14ac:dyDescent="0.3">
      <c r="A282" s="1"/>
      <c r="L282" s="1"/>
    </row>
    <row r="283" spans="1:12" x14ac:dyDescent="0.3">
      <c r="A283" s="1"/>
      <c r="L283" s="1"/>
    </row>
    <row r="284" spans="1:12" x14ac:dyDescent="0.3">
      <c r="A284" s="1"/>
      <c r="L284" s="1"/>
    </row>
    <row r="285" spans="1:12" x14ac:dyDescent="0.3">
      <c r="A285" s="1"/>
      <c r="L285" s="1"/>
    </row>
    <row r="286" spans="1:12" x14ac:dyDescent="0.3">
      <c r="A286" s="1"/>
      <c r="L286" s="1"/>
    </row>
    <row r="287" spans="1:12" x14ac:dyDescent="0.3">
      <c r="A287" s="1"/>
      <c r="L287" s="1"/>
    </row>
    <row r="288" spans="1:12" x14ac:dyDescent="0.3">
      <c r="A288" s="1"/>
      <c r="L288" s="1"/>
    </row>
    <row r="289" spans="1:12" x14ac:dyDescent="0.3">
      <c r="A289" s="1"/>
      <c r="L289" s="1"/>
    </row>
    <row r="290" spans="1:12" x14ac:dyDescent="0.3">
      <c r="A290" s="1"/>
      <c r="L290" s="1"/>
    </row>
    <row r="291" spans="1:12" x14ac:dyDescent="0.3">
      <c r="A291" s="1"/>
      <c r="L291" s="1"/>
    </row>
    <row r="292" spans="1:12" x14ac:dyDescent="0.3">
      <c r="A292" s="1"/>
      <c r="L292" s="1"/>
    </row>
    <row r="293" spans="1:12" x14ac:dyDescent="0.3">
      <c r="A293" s="1"/>
      <c r="L293" s="1"/>
    </row>
    <row r="294" spans="1:12" x14ac:dyDescent="0.3">
      <c r="A294" s="1"/>
      <c r="L294" s="1"/>
    </row>
    <row r="295" spans="1:12" x14ac:dyDescent="0.3">
      <c r="A295" s="1"/>
      <c r="L295" s="1"/>
    </row>
    <row r="296" spans="1:12" x14ac:dyDescent="0.3">
      <c r="A296" s="1"/>
      <c r="L296" s="1"/>
    </row>
    <row r="297" spans="1:12" x14ac:dyDescent="0.3">
      <c r="A297" s="1"/>
      <c r="L297" s="1"/>
    </row>
    <row r="298" spans="1:12" x14ac:dyDescent="0.3">
      <c r="A298" s="1"/>
      <c r="L298" s="1"/>
    </row>
    <row r="299" spans="1:12" x14ac:dyDescent="0.3">
      <c r="A299" s="1"/>
      <c r="L299" s="1"/>
    </row>
    <row r="300" spans="1:12" x14ac:dyDescent="0.3">
      <c r="A300" s="1"/>
      <c r="L300" s="1"/>
    </row>
  </sheetData>
  <mergeCells count="1">
    <mergeCell ref="B1:I3"/>
  </mergeCells>
  <pageMargins left="0.44" right="0.2" top="0.33" bottom="0.28999999999999998" header="0.3" footer="0.3"/>
  <pageSetup paperSize="119" scale="67" orientation="portrait" horizontalDpi="300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7">
    <tabColor theme="9" tint="-0.249977111117893"/>
  </sheetPr>
  <dimension ref="A1:Z300"/>
  <sheetViews>
    <sheetView showGridLines="0" topLeftCell="A4" workbookViewId="0">
      <selection activeCell="A20" sqref="A20"/>
    </sheetView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45.85546875" style="2" customWidth="1"/>
    <col min="4" max="16384" width="11.42578125" style="2"/>
  </cols>
  <sheetData>
    <row r="1" spans="1:26" x14ac:dyDescent="0.3">
      <c r="A1" s="1"/>
      <c r="B1" s="81" t="s">
        <v>117</v>
      </c>
      <c r="C1" s="81"/>
      <c r="D1" s="8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81"/>
      <c r="C2" s="81"/>
      <c r="D2" s="8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81"/>
      <c r="C3" s="81"/>
      <c r="D3" s="8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2" t="s">
        <v>97</v>
      </c>
    </row>
    <row r="6" spans="1:26" x14ac:dyDescent="0.3">
      <c r="A6" s="1"/>
      <c r="C6" s="2" t="s">
        <v>98</v>
      </c>
    </row>
    <row r="7" spans="1:26" x14ac:dyDescent="0.3">
      <c r="A7" s="1"/>
      <c r="C7" s="2" t="s">
        <v>99</v>
      </c>
    </row>
    <row r="8" spans="1:26" x14ac:dyDescent="0.3">
      <c r="A8" s="1"/>
      <c r="C8" s="2" t="s">
        <v>100</v>
      </c>
    </row>
    <row r="9" spans="1:26" x14ac:dyDescent="0.3">
      <c r="A9" s="1"/>
      <c r="C9" s="2" t="s">
        <v>101</v>
      </c>
    </row>
    <row r="10" spans="1:26" x14ac:dyDescent="0.3">
      <c r="A10" s="1"/>
      <c r="C10" s="2" t="s">
        <v>102</v>
      </c>
    </row>
    <row r="11" spans="1:26" x14ac:dyDescent="0.3">
      <c r="A11" s="1"/>
      <c r="C11" s="2" t="s">
        <v>103</v>
      </c>
    </row>
    <row r="12" spans="1:26" x14ac:dyDescent="0.3">
      <c r="A12" s="1"/>
      <c r="C12" s="2" t="s">
        <v>104</v>
      </c>
    </row>
    <row r="13" spans="1:26" x14ac:dyDescent="0.3">
      <c r="A13" s="1"/>
      <c r="C13" s="2" t="s">
        <v>105</v>
      </c>
    </row>
    <row r="14" spans="1:26" x14ac:dyDescent="0.3">
      <c r="A14" s="1"/>
      <c r="C14" s="2" t="s">
        <v>106</v>
      </c>
    </row>
    <row r="15" spans="1:26" x14ac:dyDescent="0.3">
      <c r="A15" s="1"/>
      <c r="C15" s="2" t="s">
        <v>107</v>
      </c>
    </row>
    <row r="16" spans="1:26" x14ac:dyDescent="0.3">
      <c r="A16" s="1"/>
      <c r="C16" s="2" t="s">
        <v>108</v>
      </c>
    </row>
    <row r="17" spans="1:3" x14ac:dyDescent="0.3">
      <c r="A17" s="1"/>
      <c r="C17" s="2" t="s">
        <v>109</v>
      </c>
    </row>
    <row r="18" spans="1:3" x14ac:dyDescent="0.3">
      <c r="A18" s="1"/>
      <c r="C18" s="2" t="s">
        <v>110</v>
      </c>
    </row>
    <row r="19" spans="1:3" x14ac:dyDescent="0.3">
      <c r="A19" s="1"/>
      <c r="C19" s="2" t="s">
        <v>111</v>
      </c>
    </row>
    <row r="20" spans="1:3" x14ac:dyDescent="0.3">
      <c r="A20" s="1"/>
      <c r="C20" s="2" t="s">
        <v>112</v>
      </c>
    </row>
    <row r="21" spans="1:3" x14ac:dyDescent="0.3">
      <c r="A21" s="1"/>
      <c r="C21" s="2" t="s">
        <v>113</v>
      </c>
    </row>
    <row r="22" spans="1:3" x14ac:dyDescent="0.3">
      <c r="A22" s="1"/>
      <c r="C22" s="2" t="s">
        <v>115</v>
      </c>
    </row>
    <row r="23" spans="1:3" x14ac:dyDescent="0.3">
      <c r="A23" s="1"/>
      <c r="C23" s="2" t="s">
        <v>114</v>
      </c>
    </row>
    <row r="24" spans="1:3" x14ac:dyDescent="0.3">
      <c r="A24" s="1"/>
      <c r="C24" s="2" t="s">
        <v>116</v>
      </c>
    </row>
    <row r="25" spans="1:3" x14ac:dyDescent="0.3">
      <c r="A25" s="1"/>
    </row>
    <row r="26" spans="1:3" x14ac:dyDescent="0.3">
      <c r="A26" s="1"/>
    </row>
    <row r="27" spans="1:3" x14ac:dyDescent="0.3">
      <c r="A27" s="1"/>
    </row>
    <row r="28" spans="1:3" x14ac:dyDescent="0.3">
      <c r="A28" s="1"/>
    </row>
    <row r="29" spans="1:3" x14ac:dyDescent="0.3">
      <c r="A29" s="1"/>
    </row>
    <row r="30" spans="1:3" x14ac:dyDescent="0.3">
      <c r="A30" s="1"/>
    </row>
    <row r="31" spans="1:3" x14ac:dyDescent="0.3">
      <c r="A31" s="1"/>
    </row>
    <row r="32" spans="1:3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B1:D3"/>
  </mergeCells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0000"/>
  </sheetPr>
  <dimension ref="A1:Z300"/>
  <sheetViews>
    <sheetView showGridLines="0" workbookViewId="0"/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25.28515625" style="2" customWidth="1"/>
    <col min="4" max="4" width="29" style="2" customWidth="1"/>
    <col min="5" max="5" width="14.5703125" style="2" customWidth="1"/>
    <col min="6" max="6" width="13.7109375" style="2" customWidth="1"/>
    <col min="7" max="7" width="16.5703125" style="2" customWidth="1"/>
    <col min="8" max="8" width="14.85546875" style="2" customWidth="1"/>
    <col min="9" max="9" width="19.140625" style="2" customWidth="1"/>
    <col min="10" max="10" width="18.85546875" style="2" customWidth="1"/>
    <col min="11" max="16384" width="11.42578125" style="2"/>
  </cols>
  <sheetData>
    <row r="1" spans="1:26" ht="16.5" customHeight="1" x14ac:dyDescent="0.3">
      <c r="A1" s="1"/>
      <c r="B1" s="32"/>
      <c r="C1" s="81" t="s">
        <v>118</v>
      </c>
      <c r="D1" s="81"/>
      <c r="E1" s="81"/>
      <c r="F1" s="8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 x14ac:dyDescent="0.3">
      <c r="A2" s="1"/>
      <c r="B2" s="32"/>
      <c r="C2" s="81"/>
      <c r="D2" s="81"/>
      <c r="E2" s="81"/>
      <c r="F2" s="8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 x14ac:dyDescent="0.3">
      <c r="A3" s="1"/>
      <c r="B3" s="32"/>
      <c r="C3" s="81"/>
      <c r="D3" s="81"/>
      <c r="E3" s="81"/>
      <c r="F3" s="8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2" t="s">
        <v>119</v>
      </c>
      <c r="D5" s="2" t="s">
        <v>4</v>
      </c>
      <c r="E5" s="2" t="s">
        <v>25</v>
      </c>
      <c r="F5" s="2" t="s">
        <v>5</v>
      </c>
      <c r="G5" s="2" t="s">
        <v>120</v>
      </c>
      <c r="H5" s="2" t="s">
        <v>121</v>
      </c>
      <c r="I5" s="2" t="s">
        <v>7</v>
      </c>
      <c r="J5" s="2" t="s">
        <v>122</v>
      </c>
    </row>
    <row r="6" spans="1:26" x14ac:dyDescent="0.3">
      <c r="A6" s="1"/>
      <c r="C6" s="2" t="s">
        <v>123</v>
      </c>
      <c r="D6" s="2" t="s">
        <v>133</v>
      </c>
      <c r="E6" s="10">
        <v>2587</v>
      </c>
      <c r="F6" s="2" t="s">
        <v>143</v>
      </c>
      <c r="G6" s="2" t="s">
        <v>14</v>
      </c>
      <c r="H6" s="35" t="s">
        <v>147</v>
      </c>
      <c r="I6" s="2">
        <v>3169874562</v>
      </c>
      <c r="J6" s="2" t="s">
        <v>45</v>
      </c>
    </row>
    <row r="7" spans="1:26" x14ac:dyDescent="0.3">
      <c r="A7" s="1"/>
      <c r="C7" s="2" t="s">
        <v>124</v>
      </c>
      <c r="D7" s="2" t="s">
        <v>134</v>
      </c>
      <c r="E7" s="10">
        <v>3247</v>
      </c>
      <c r="F7" s="2" t="s">
        <v>144</v>
      </c>
      <c r="G7" s="2" t="s">
        <v>14</v>
      </c>
      <c r="H7" s="35" t="s">
        <v>148</v>
      </c>
      <c r="I7" s="2">
        <v>3201478529</v>
      </c>
      <c r="J7" s="2" t="s">
        <v>153</v>
      </c>
    </row>
    <row r="8" spans="1:26" x14ac:dyDescent="0.3">
      <c r="A8" s="1"/>
      <c r="C8" s="2" t="s">
        <v>125</v>
      </c>
      <c r="D8" s="2" t="s">
        <v>135</v>
      </c>
      <c r="E8" s="10">
        <v>4598</v>
      </c>
      <c r="F8" s="2" t="s">
        <v>43</v>
      </c>
      <c r="G8" s="2" t="s">
        <v>14</v>
      </c>
      <c r="H8" s="35" t="s">
        <v>149</v>
      </c>
      <c r="I8" s="2">
        <v>3147896541</v>
      </c>
      <c r="J8" s="2" t="s">
        <v>153</v>
      </c>
    </row>
    <row r="9" spans="1:26" x14ac:dyDescent="0.3">
      <c r="A9" s="1"/>
      <c r="C9" s="2" t="s">
        <v>126</v>
      </c>
      <c r="D9" s="2" t="s">
        <v>136</v>
      </c>
      <c r="E9" s="10">
        <v>3214</v>
      </c>
      <c r="F9" s="2" t="s">
        <v>44</v>
      </c>
      <c r="G9" s="2" t="s">
        <v>14</v>
      </c>
      <c r="H9" s="35" t="s">
        <v>150</v>
      </c>
      <c r="I9" s="2">
        <v>3178965321</v>
      </c>
      <c r="J9" s="2" t="s">
        <v>153</v>
      </c>
    </row>
    <row r="10" spans="1:26" x14ac:dyDescent="0.3">
      <c r="A10" s="1"/>
      <c r="C10" s="2" t="s">
        <v>127</v>
      </c>
      <c r="D10" s="2" t="s">
        <v>137</v>
      </c>
      <c r="E10" s="10">
        <v>4587</v>
      </c>
      <c r="F10" s="2" t="s">
        <v>145</v>
      </c>
      <c r="G10" s="2" t="s">
        <v>14</v>
      </c>
      <c r="H10" s="35">
        <v>1100963258</v>
      </c>
      <c r="I10" s="2">
        <v>3221478523</v>
      </c>
      <c r="J10" s="2" t="s">
        <v>153</v>
      </c>
    </row>
    <row r="11" spans="1:26" x14ac:dyDescent="0.3">
      <c r="A11" s="1"/>
      <c r="C11" s="2" t="s">
        <v>128</v>
      </c>
      <c r="D11" s="2" t="s">
        <v>138</v>
      </c>
      <c r="E11" s="10">
        <v>56987</v>
      </c>
      <c r="F11" s="2" t="s">
        <v>146</v>
      </c>
      <c r="G11" s="2" t="s">
        <v>14</v>
      </c>
      <c r="H11" s="35">
        <v>1100874569</v>
      </c>
      <c r="I11" s="2">
        <v>3143214568</v>
      </c>
      <c r="J11" s="2" t="s">
        <v>153</v>
      </c>
    </row>
    <row r="12" spans="1:26" x14ac:dyDescent="0.3">
      <c r="A12" s="1"/>
      <c r="C12" s="2" t="s">
        <v>129</v>
      </c>
      <c r="D12" s="2" t="s">
        <v>139</v>
      </c>
      <c r="E12" s="10">
        <v>26987</v>
      </c>
      <c r="F12" s="2" t="s">
        <v>143</v>
      </c>
      <c r="G12" s="2" t="s">
        <v>14</v>
      </c>
      <c r="H12" s="35">
        <v>101369852</v>
      </c>
      <c r="I12" s="2">
        <v>3136547891</v>
      </c>
      <c r="J12" s="2" t="s">
        <v>153</v>
      </c>
    </row>
    <row r="13" spans="1:26" x14ac:dyDescent="0.3">
      <c r="A13" s="1"/>
      <c r="C13" s="2" t="s">
        <v>130</v>
      </c>
      <c r="D13" s="2" t="s">
        <v>140</v>
      </c>
      <c r="E13" s="10">
        <v>2698</v>
      </c>
      <c r="F13" s="2" t="s">
        <v>144</v>
      </c>
      <c r="G13" s="2" t="s">
        <v>14</v>
      </c>
      <c r="H13" s="35" t="s">
        <v>151</v>
      </c>
      <c r="I13" s="2">
        <v>3221478521</v>
      </c>
      <c r="J13" s="2" t="s">
        <v>47</v>
      </c>
    </row>
    <row r="14" spans="1:26" x14ac:dyDescent="0.3">
      <c r="A14" s="1"/>
      <c r="C14" s="2" t="s">
        <v>131</v>
      </c>
      <c r="D14" s="2" t="s">
        <v>141</v>
      </c>
      <c r="E14" s="10">
        <v>3214</v>
      </c>
      <c r="F14" s="2" t="s">
        <v>43</v>
      </c>
      <c r="G14" s="2" t="s">
        <v>14</v>
      </c>
      <c r="H14" s="35" t="s">
        <v>152</v>
      </c>
      <c r="I14" s="2">
        <v>3159874561</v>
      </c>
      <c r="J14" s="2" t="s">
        <v>47</v>
      </c>
    </row>
    <row r="15" spans="1:26" x14ac:dyDescent="0.3">
      <c r="A15" s="1"/>
      <c r="C15" s="2" t="s">
        <v>132</v>
      </c>
      <c r="D15" s="2" t="s">
        <v>142</v>
      </c>
      <c r="E15" s="10">
        <v>2581</v>
      </c>
      <c r="F15" s="2" t="s">
        <v>44</v>
      </c>
      <c r="G15" s="2" t="s">
        <v>14</v>
      </c>
      <c r="H15" s="35">
        <v>5789654</v>
      </c>
      <c r="I15" s="2">
        <v>3216549871</v>
      </c>
      <c r="J15" s="2" t="s">
        <v>47</v>
      </c>
    </row>
    <row r="16" spans="1:26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C1:F3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8">
    <tabColor rgb="FFC00000"/>
  </sheetPr>
  <dimension ref="A1:Z300"/>
  <sheetViews>
    <sheetView showGridLines="0" workbookViewId="0"/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12.7109375" style="2" customWidth="1"/>
    <col min="4" max="4" width="11" style="2" customWidth="1"/>
    <col min="5" max="5" width="14.140625" style="2" customWidth="1"/>
    <col min="6" max="6" width="16.85546875" style="2" customWidth="1"/>
    <col min="7" max="7" width="29.28515625" style="2" customWidth="1"/>
    <col min="8" max="8" width="27.5703125" style="2" customWidth="1"/>
    <col min="9" max="9" width="16.85546875" style="2" customWidth="1"/>
    <col min="10" max="10" width="13.42578125" style="2" customWidth="1"/>
    <col min="11" max="11" width="6.85546875" style="2" customWidth="1"/>
    <col min="12" max="12" width="15.85546875" style="2" customWidth="1"/>
    <col min="13" max="13" width="13.28515625" style="2" customWidth="1"/>
    <col min="14" max="14" width="14.5703125" style="2" customWidth="1"/>
    <col min="15" max="15" width="13.5703125" style="2" customWidth="1"/>
    <col min="16" max="16" width="19.28515625" style="2" customWidth="1"/>
    <col min="17" max="16384" width="11.42578125" style="2"/>
  </cols>
  <sheetData>
    <row r="1" spans="1:26" ht="16.5" customHeight="1" x14ac:dyDescent="0.3">
      <c r="A1" s="1"/>
      <c r="B1" s="106" t="s">
        <v>186</v>
      </c>
      <c r="C1" s="106"/>
      <c r="D1" s="106"/>
      <c r="E1" s="106"/>
      <c r="F1" s="1"/>
      <c r="G1" s="1"/>
      <c r="H1" s="40"/>
      <c r="I1" s="40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 x14ac:dyDescent="0.3">
      <c r="A2" s="1"/>
      <c r="B2" s="106"/>
      <c r="C2" s="106"/>
      <c r="D2" s="106"/>
      <c r="E2" s="106"/>
      <c r="F2" s="1"/>
      <c r="G2" s="1"/>
      <c r="H2" s="40"/>
      <c r="I2" s="40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 x14ac:dyDescent="0.3">
      <c r="A3" s="1"/>
      <c r="B3" s="106"/>
      <c r="C3" s="106"/>
      <c r="D3" s="106"/>
      <c r="E3" s="106"/>
      <c r="F3" s="1"/>
      <c r="G3" s="1"/>
      <c r="H3" s="40"/>
      <c r="I3" s="40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2" t="s">
        <v>154</v>
      </c>
      <c r="D5" s="2" t="s">
        <v>155</v>
      </c>
      <c r="E5" s="2" t="s">
        <v>156</v>
      </c>
      <c r="F5" s="2" t="s">
        <v>157</v>
      </c>
      <c r="G5" s="2" t="s">
        <v>158</v>
      </c>
      <c r="H5" s="2" t="s">
        <v>159</v>
      </c>
      <c r="I5" s="2" t="s">
        <v>160</v>
      </c>
      <c r="J5" s="2" t="s">
        <v>63</v>
      </c>
      <c r="K5" s="2" t="s">
        <v>1</v>
      </c>
      <c r="L5" s="2" t="s">
        <v>58</v>
      </c>
      <c r="M5" s="2" t="s">
        <v>180</v>
      </c>
      <c r="N5" s="2" t="s">
        <v>181</v>
      </c>
      <c r="O5" s="2" t="s">
        <v>182</v>
      </c>
      <c r="P5" s="2" t="s">
        <v>161</v>
      </c>
    </row>
    <row r="6" spans="1:26" x14ac:dyDescent="0.3">
      <c r="A6" s="1"/>
      <c r="C6" s="14">
        <v>43500</v>
      </c>
      <c r="D6" s="10">
        <v>1</v>
      </c>
      <c r="E6" s="14">
        <v>43500</v>
      </c>
      <c r="F6" s="10" t="s">
        <v>169</v>
      </c>
      <c r="G6" s="2" t="s">
        <v>123</v>
      </c>
      <c r="H6" s="2" t="s">
        <v>100</v>
      </c>
      <c r="I6" s="16">
        <v>50000</v>
      </c>
      <c r="J6" s="16">
        <f>TablaRegistro_Gastos[[#This Row],[Importe/Base]]*0.19</f>
        <v>9500</v>
      </c>
      <c r="K6" s="16">
        <v>0</v>
      </c>
      <c r="L6" s="38">
        <f>TablaRegistro_Gastos[[#This Row],[Importe/Base]]+TablaRegistro_Gastos[[#This Row],[IVA]]-TablaRegistro_Gastos[[#This Row],[IRPF]]</f>
        <v>59500</v>
      </c>
      <c r="M6" s="12">
        <v>30</v>
      </c>
      <c r="N6" s="12">
        <v>60</v>
      </c>
      <c r="O6" s="12">
        <v>90</v>
      </c>
      <c r="P6" s="2" t="s">
        <v>183</v>
      </c>
    </row>
    <row r="7" spans="1:26" x14ac:dyDescent="0.3">
      <c r="A7" s="1"/>
      <c r="C7" s="41">
        <v>43650</v>
      </c>
      <c r="D7" s="42">
        <v>2</v>
      </c>
      <c r="E7" s="14">
        <v>43804</v>
      </c>
      <c r="F7" s="10" t="s">
        <v>170</v>
      </c>
      <c r="G7" s="36" t="s">
        <v>124</v>
      </c>
      <c r="H7" s="36" t="s">
        <v>102</v>
      </c>
      <c r="I7" s="37">
        <v>250000</v>
      </c>
      <c r="J7" s="37">
        <f>TablaRegistro_Gastos[[#This Row],[Importe/Base]]*0.19</f>
        <v>47500</v>
      </c>
      <c r="K7" s="16">
        <v>0</v>
      </c>
      <c r="L7" s="39">
        <f>TablaRegistro_Gastos[[#This Row],[Importe/Base]]+TablaRegistro_Gastos[[#This Row],[IVA]]-TablaRegistro_Gastos[[#This Row],[IRPF]]</f>
        <v>297500</v>
      </c>
      <c r="M7" s="12">
        <v>30</v>
      </c>
      <c r="N7" s="12">
        <v>60</v>
      </c>
      <c r="O7" s="12">
        <v>90</v>
      </c>
      <c r="P7" s="2" t="s">
        <v>184</v>
      </c>
    </row>
    <row r="8" spans="1:26" x14ac:dyDescent="0.3">
      <c r="A8" s="1"/>
      <c r="C8" s="41">
        <v>43803</v>
      </c>
      <c r="D8" s="10">
        <v>3</v>
      </c>
      <c r="E8" s="14" t="s">
        <v>165</v>
      </c>
      <c r="F8" s="10" t="s">
        <v>171</v>
      </c>
      <c r="G8" s="36" t="s">
        <v>125</v>
      </c>
      <c r="H8" s="36" t="s">
        <v>103</v>
      </c>
      <c r="I8" s="37">
        <v>180000</v>
      </c>
      <c r="J8" s="37">
        <f>TablaRegistro_Gastos[[#This Row],[Importe/Base]]*0.19</f>
        <v>34200</v>
      </c>
      <c r="K8" s="16">
        <v>0</v>
      </c>
      <c r="L8" s="39">
        <f>TablaRegistro_Gastos[[#This Row],[Importe/Base]]+TablaRegistro_Gastos[[#This Row],[IVA]]-TablaRegistro_Gastos[[#This Row],[IRPF]]</f>
        <v>214200</v>
      </c>
      <c r="M8" s="12">
        <v>30</v>
      </c>
      <c r="N8" s="12">
        <v>60</v>
      </c>
      <c r="O8" s="12">
        <v>90</v>
      </c>
      <c r="P8" s="2" t="s">
        <v>185</v>
      </c>
    </row>
    <row r="9" spans="1:26" x14ac:dyDescent="0.3">
      <c r="A9" s="1"/>
      <c r="C9" s="41" t="s">
        <v>162</v>
      </c>
      <c r="D9" s="42">
        <v>4</v>
      </c>
      <c r="E9" s="14">
        <v>43684</v>
      </c>
      <c r="F9" s="10" t="s">
        <v>172</v>
      </c>
      <c r="G9" s="36" t="s">
        <v>126</v>
      </c>
      <c r="H9" s="36" t="s">
        <v>98</v>
      </c>
      <c r="I9" s="37">
        <v>500000</v>
      </c>
      <c r="J9" s="37">
        <f>TablaRegistro_Gastos[[#This Row],[Importe/Base]]*0.19</f>
        <v>95000</v>
      </c>
      <c r="K9" s="16">
        <v>0</v>
      </c>
      <c r="L9" s="39">
        <f>TablaRegistro_Gastos[[#This Row],[Importe/Base]]+TablaRegistro_Gastos[[#This Row],[IVA]]-TablaRegistro_Gastos[[#This Row],[IRPF]]</f>
        <v>595000</v>
      </c>
      <c r="M9" s="12">
        <v>15</v>
      </c>
      <c r="N9" s="12">
        <v>30</v>
      </c>
      <c r="O9" s="12">
        <v>60</v>
      </c>
      <c r="P9" s="2" t="s">
        <v>69</v>
      </c>
    </row>
    <row r="10" spans="1:26" x14ac:dyDescent="0.3">
      <c r="A10" s="1"/>
      <c r="C10" s="42" t="s">
        <v>162</v>
      </c>
      <c r="D10" s="10">
        <v>5</v>
      </c>
      <c r="E10" s="14">
        <v>43807</v>
      </c>
      <c r="F10" s="10" t="s">
        <v>173</v>
      </c>
      <c r="G10" s="36" t="s">
        <v>127</v>
      </c>
      <c r="H10" s="36" t="s">
        <v>99</v>
      </c>
      <c r="I10" s="37">
        <v>1000000</v>
      </c>
      <c r="J10" s="37">
        <f>TablaRegistro_Gastos[[#This Row],[Importe/Base]]*0.19</f>
        <v>190000</v>
      </c>
      <c r="K10" s="16">
        <v>0</v>
      </c>
      <c r="L10" s="39">
        <f>TablaRegistro_Gastos[[#This Row],[Importe/Base]]+TablaRegistro_Gastos[[#This Row],[IVA]]-TablaRegistro_Gastos[[#This Row],[IRPF]]</f>
        <v>1190000</v>
      </c>
      <c r="M10" s="12">
        <v>30</v>
      </c>
      <c r="N10" s="12">
        <v>60</v>
      </c>
      <c r="O10" s="12">
        <v>90</v>
      </c>
      <c r="P10" s="2" t="s">
        <v>185</v>
      </c>
    </row>
    <row r="11" spans="1:26" x14ac:dyDescent="0.3">
      <c r="A11" s="1"/>
      <c r="C11" s="42" t="s">
        <v>162</v>
      </c>
      <c r="D11" s="42">
        <v>6</v>
      </c>
      <c r="E11" s="14">
        <v>43717</v>
      </c>
      <c r="F11" s="10" t="s">
        <v>174</v>
      </c>
      <c r="G11" s="36" t="s">
        <v>128</v>
      </c>
      <c r="H11" s="36" t="s">
        <v>104</v>
      </c>
      <c r="I11" s="37">
        <v>25000</v>
      </c>
      <c r="J11" s="37">
        <f>TablaRegistro_Gastos[[#This Row],[Importe/Base]]*0.19</f>
        <v>4750</v>
      </c>
      <c r="K11" s="16">
        <v>0</v>
      </c>
      <c r="L11" s="39">
        <f>TablaRegistro_Gastos[[#This Row],[Importe/Base]]+TablaRegistro_Gastos[[#This Row],[IVA]]-TablaRegistro_Gastos[[#This Row],[IRPF]]</f>
        <v>29750</v>
      </c>
      <c r="M11" s="12">
        <v>30</v>
      </c>
      <c r="N11" s="12">
        <v>60</v>
      </c>
      <c r="O11" s="12">
        <v>90</v>
      </c>
      <c r="P11" s="2" t="s">
        <v>185</v>
      </c>
    </row>
    <row r="12" spans="1:26" x14ac:dyDescent="0.3">
      <c r="A12" s="1"/>
      <c r="C12" s="42" t="s">
        <v>163</v>
      </c>
      <c r="D12" s="10">
        <v>7</v>
      </c>
      <c r="E12" s="14">
        <v>43779</v>
      </c>
      <c r="F12" s="10" t="s">
        <v>175</v>
      </c>
      <c r="G12" s="36" t="s">
        <v>129</v>
      </c>
      <c r="H12" s="36" t="s">
        <v>105</v>
      </c>
      <c r="I12" s="37">
        <v>750000</v>
      </c>
      <c r="J12" s="37">
        <f>TablaRegistro_Gastos[[#This Row],[Importe/Base]]*0.19</f>
        <v>142500</v>
      </c>
      <c r="K12" s="16">
        <v>0</v>
      </c>
      <c r="L12" s="39">
        <f>TablaRegistro_Gastos[[#This Row],[Importe/Base]]+TablaRegistro_Gastos[[#This Row],[IVA]]-TablaRegistro_Gastos[[#This Row],[IRPF]]</f>
        <v>892500</v>
      </c>
      <c r="M12" s="12">
        <v>15</v>
      </c>
      <c r="N12" s="12">
        <v>30</v>
      </c>
      <c r="O12" s="12">
        <v>60</v>
      </c>
      <c r="P12" s="2" t="s">
        <v>184</v>
      </c>
    </row>
    <row r="13" spans="1:26" x14ac:dyDescent="0.3">
      <c r="A13" s="1"/>
      <c r="C13" s="41">
        <v>43743</v>
      </c>
      <c r="D13" s="42">
        <v>8</v>
      </c>
      <c r="E13" s="14" t="s">
        <v>166</v>
      </c>
      <c r="F13" s="10" t="s">
        <v>176</v>
      </c>
      <c r="G13" s="36" t="s">
        <v>130</v>
      </c>
      <c r="H13" s="36" t="s">
        <v>106</v>
      </c>
      <c r="I13" s="37">
        <v>80000</v>
      </c>
      <c r="J13" s="37">
        <v>0</v>
      </c>
      <c r="K13" s="16">
        <v>0</v>
      </c>
      <c r="L13" s="39">
        <f>TablaRegistro_Gastos[[#This Row],[Importe/Base]]+TablaRegistro_Gastos[[#This Row],[IVA]]-TablaRegistro_Gastos[[#This Row],[IRPF]]</f>
        <v>80000</v>
      </c>
      <c r="M13" s="12">
        <v>30</v>
      </c>
      <c r="N13" s="12">
        <v>60</v>
      </c>
      <c r="O13" s="12">
        <v>90</v>
      </c>
      <c r="P13" s="2" t="s">
        <v>185</v>
      </c>
    </row>
    <row r="14" spans="1:26" x14ac:dyDescent="0.3">
      <c r="A14" s="1"/>
      <c r="C14" s="41">
        <v>43774</v>
      </c>
      <c r="D14" s="10">
        <v>9</v>
      </c>
      <c r="E14" s="14" t="s">
        <v>167</v>
      </c>
      <c r="F14" s="10" t="s">
        <v>177</v>
      </c>
      <c r="G14" s="36" t="s">
        <v>131</v>
      </c>
      <c r="H14" s="36" t="s">
        <v>107</v>
      </c>
      <c r="I14" s="37">
        <v>35000</v>
      </c>
      <c r="J14" s="37">
        <v>0</v>
      </c>
      <c r="K14" s="16">
        <v>0</v>
      </c>
      <c r="L14" s="39">
        <f>TablaRegistro_Gastos[[#This Row],[Importe/Base]]+TablaRegistro_Gastos[[#This Row],[IVA]]-TablaRegistro_Gastos[[#This Row],[IRPF]]</f>
        <v>35000</v>
      </c>
      <c r="M14" s="12">
        <v>30</v>
      </c>
      <c r="N14" s="12">
        <v>60</v>
      </c>
      <c r="O14" s="12">
        <v>90</v>
      </c>
      <c r="P14" s="2" t="s">
        <v>185</v>
      </c>
    </row>
    <row r="15" spans="1:26" x14ac:dyDescent="0.3">
      <c r="A15" s="1"/>
      <c r="C15" s="42" t="s">
        <v>164</v>
      </c>
      <c r="D15" s="42">
        <v>10</v>
      </c>
      <c r="E15" s="14">
        <v>43507</v>
      </c>
      <c r="F15" s="10" t="s">
        <v>178</v>
      </c>
      <c r="G15" s="36" t="s">
        <v>132</v>
      </c>
      <c r="H15" s="36" t="s">
        <v>108</v>
      </c>
      <c r="I15" s="37">
        <v>5000</v>
      </c>
      <c r="J15" s="37">
        <v>0</v>
      </c>
      <c r="K15" s="16">
        <v>0</v>
      </c>
      <c r="L15" s="39">
        <f>TablaRegistro_Gastos[[#This Row],[Importe/Base]]+TablaRegistro_Gastos[[#This Row],[IVA]]-TablaRegistro_Gastos[[#This Row],[IRPF]]</f>
        <v>5000</v>
      </c>
      <c r="M15" s="12">
        <v>30</v>
      </c>
      <c r="N15" s="12">
        <v>60</v>
      </c>
      <c r="O15" s="12">
        <v>90</v>
      </c>
      <c r="P15" s="2" t="s">
        <v>185</v>
      </c>
    </row>
    <row r="16" spans="1:26" x14ac:dyDescent="0.3">
      <c r="A16" s="1"/>
      <c r="C16" s="41">
        <v>43591</v>
      </c>
      <c r="D16" s="10">
        <v>11</v>
      </c>
      <c r="E16" s="14" t="s">
        <v>168</v>
      </c>
      <c r="F16" s="10" t="s">
        <v>179</v>
      </c>
      <c r="G16" s="36" t="s">
        <v>124</v>
      </c>
      <c r="H16" s="36" t="s">
        <v>109</v>
      </c>
      <c r="I16" s="37">
        <v>70000</v>
      </c>
      <c r="J16" s="37">
        <f>TablaRegistro_Gastos[[#This Row],[Importe/Base]]*0.19</f>
        <v>13300</v>
      </c>
      <c r="K16" s="16">
        <v>0</v>
      </c>
      <c r="L16" s="39">
        <f>TablaRegistro_Gastos[[#This Row],[Importe/Base]]+TablaRegistro_Gastos[[#This Row],[IVA]]-TablaRegistro_Gastos[[#This Row],[IRPF]]</f>
        <v>83300</v>
      </c>
      <c r="M16" s="12">
        <v>30</v>
      </c>
      <c r="N16" s="12">
        <v>60</v>
      </c>
      <c r="O16" s="12">
        <v>90</v>
      </c>
      <c r="P16" s="2" t="s">
        <v>183</v>
      </c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B1:E3"/>
  </mergeCells>
  <dataValidations count="4">
    <dataValidation type="list" allowBlank="1" showInputMessage="1" showErrorMessage="1" sqref="G6:G16">
      <formula1>ListaProveedores</formula1>
    </dataValidation>
    <dataValidation type="list" allowBlank="1" showInputMessage="1" showErrorMessage="1" sqref="H6:H16">
      <formula1>ListaTiposGasto</formula1>
    </dataValidation>
    <dataValidation type="list" allowBlank="1" showInputMessage="1" showErrorMessage="1" sqref="M6:O16">
      <formula1>"15,30,60,90"</formula1>
    </dataValidation>
    <dataValidation type="list" allowBlank="1" showInputMessage="1" showErrorMessage="1" sqref="P6:P16">
      <formula1>"Contabilizada,Pendiente,Pagada,En Mora"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09">
    <tabColor theme="0"/>
  </sheetPr>
  <dimension ref="A1:Z300"/>
  <sheetViews>
    <sheetView showGridLines="0" showRowColHeaders="0" workbookViewId="0"/>
  </sheetViews>
  <sheetFormatPr baseColWidth="10" defaultRowHeight="16.5" x14ac:dyDescent="0.3"/>
  <cols>
    <col min="1" max="1" width="10.7109375" style="2" customWidth="1"/>
    <col min="2" max="2" width="1.7109375" style="2" customWidth="1"/>
    <col min="3" max="3" width="9.85546875" style="2" customWidth="1"/>
    <col min="4" max="4" width="12.5703125" style="2" customWidth="1"/>
    <col min="5" max="5" width="13.28515625" style="2" customWidth="1"/>
    <col min="6" max="6" width="14" style="2" customWidth="1"/>
    <col min="7" max="7" width="18" style="2" customWidth="1"/>
    <col min="8" max="8" width="28.42578125" style="2" bestFit="1" customWidth="1"/>
    <col min="9" max="9" width="19.140625" style="2" customWidth="1"/>
    <col min="10" max="10" width="16" style="2" bestFit="1" customWidth="1"/>
    <col min="11" max="11" width="7.85546875" style="2" customWidth="1"/>
    <col min="12" max="12" width="20.140625" style="2" customWidth="1"/>
    <col min="13" max="16384" width="11.42578125" style="2"/>
  </cols>
  <sheetData>
    <row r="1" spans="1:26" ht="16.5" customHeight="1" x14ac:dyDescent="0.3">
      <c r="A1" s="1"/>
      <c r="B1" s="81" t="s">
        <v>190</v>
      </c>
      <c r="C1" s="81"/>
      <c r="D1" s="81"/>
      <c r="E1" s="81"/>
      <c r="F1" s="81"/>
      <c r="G1" s="81"/>
      <c r="H1" s="81"/>
      <c r="I1" s="81"/>
      <c r="J1" s="8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 x14ac:dyDescent="0.3">
      <c r="A2" s="1"/>
      <c r="B2" s="81"/>
      <c r="C2" s="81"/>
      <c r="D2" s="81"/>
      <c r="E2" s="81"/>
      <c r="F2" s="81"/>
      <c r="G2" s="81"/>
      <c r="H2" s="81"/>
      <c r="I2" s="81"/>
      <c r="J2" s="8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 x14ac:dyDescent="0.3">
      <c r="A3" s="1"/>
      <c r="B3" s="81"/>
      <c r="C3" s="81"/>
      <c r="D3" s="81"/>
      <c r="E3" s="81"/>
      <c r="F3" s="81"/>
      <c r="G3" s="81"/>
      <c r="H3" s="81"/>
      <c r="I3" s="81"/>
      <c r="J3" s="8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</row>
    <row r="5" spans="1:26" x14ac:dyDescent="0.3">
      <c r="A5" s="1"/>
      <c r="C5" s="47" t="s">
        <v>155</v>
      </c>
      <c r="D5" s="47" t="s">
        <v>154</v>
      </c>
      <c r="E5" s="47" t="s">
        <v>157</v>
      </c>
      <c r="F5" s="47" t="s">
        <v>156</v>
      </c>
      <c r="G5" s="47" t="s">
        <v>158</v>
      </c>
      <c r="H5" s="47" t="s">
        <v>159</v>
      </c>
      <c r="I5" s="24" t="s">
        <v>187</v>
      </c>
      <c r="J5" s="24" t="s">
        <v>188</v>
      </c>
      <c r="K5" s="24" t="s">
        <v>189</v>
      </c>
      <c r="L5" s="24" t="s">
        <v>96</v>
      </c>
    </row>
    <row r="6" spans="1:26" x14ac:dyDescent="0.3">
      <c r="A6" s="1"/>
      <c r="C6" s="48">
        <v>1</v>
      </c>
      <c r="D6" s="49">
        <v>43500</v>
      </c>
      <c r="E6" s="24" t="s">
        <v>169</v>
      </c>
      <c r="F6" s="49">
        <v>43500</v>
      </c>
      <c r="G6" s="24" t="s">
        <v>123</v>
      </c>
      <c r="H6" s="24" t="s">
        <v>100</v>
      </c>
      <c r="I6" s="45">
        <v>50000</v>
      </c>
      <c r="J6" s="45">
        <v>9500</v>
      </c>
      <c r="K6" s="45">
        <v>0</v>
      </c>
      <c r="L6" s="45">
        <v>59500</v>
      </c>
    </row>
    <row r="7" spans="1:26" x14ac:dyDescent="0.3">
      <c r="A7" s="1"/>
      <c r="C7" s="48">
        <v>2</v>
      </c>
      <c r="D7" s="49">
        <v>43650</v>
      </c>
      <c r="E7" s="24" t="s">
        <v>170</v>
      </c>
      <c r="F7" s="49">
        <v>43804</v>
      </c>
      <c r="G7" s="24" t="s">
        <v>124</v>
      </c>
      <c r="H7" s="24" t="s">
        <v>102</v>
      </c>
      <c r="I7" s="45">
        <v>250000</v>
      </c>
      <c r="J7" s="45">
        <v>47500</v>
      </c>
      <c r="K7" s="45">
        <v>0</v>
      </c>
      <c r="L7" s="45">
        <v>297500</v>
      </c>
    </row>
    <row r="8" spans="1:26" x14ac:dyDescent="0.3">
      <c r="A8" s="1"/>
      <c r="C8" s="48">
        <v>3</v>
      </c>
      <c r="D8" s="49">
        <v>43803</v>
      </c>
      <c r="E8" s="24" t="s">
        <v>171</v>
      </c>
      <c r="F8" s="50" t="s">
        <v>165</v>
      </c>
      <c r="G8" s="24" t="s">
        <v>125</v>
      </c>
      <c r="H8" s="24" t="s">
        <v>103</v>
      </c>
      <c r="I8" s="45">
        <v>180000</v>
      </c>
      <c r="J8" s="45">
        <v>34200</v>
      </c>
      <c r="K8" s="45">
        <v>0</v>
      </c>
      <c r="L8" s="45">
        <v>214200</v>
      </c>
    </row>
    <row r="9" spans="1:26" x14ac:dyDescent="0.3">
      <c r="A9" s="1"/>
      <c r="C9" s="48">
        <v>4</v>
      </c>
      <c r="D9" s="50" t="s">
        <v>162</v>
      </c>
      <c r="E9" s="24" t="s">
        <v>172</v>
      </c>
      <c r="F9" s="49">
        <v>43684</v>
      </c>
      <c r="G9" s="24" t="s">
        <v>126</v>
      </c>
      <c r="H9" s="24" t="s">
        <v>98</v>
      </c>
      <c r="I9" s="45">
        <v>500000</v>
      </c>
      <c r="J9" s="45">
        <v>95000</v>
      </c>
      <c r="K9" s="45">
        <v>0</v>
      </c>
      <c r="L9" s="45">
        <v>595000</v>
      </c>
    </row>
    <row r="10" spans="1:26" x14ac:dyDescent="0.3">
      <c r="A10" s="1"/>
      <c r="C10" s="48">
        <v>5</v>
      </c>
      <c r="D10" s="24" t="s">
        <v>162</v>
      </c>
      <c r="E10" s="24" t="s">
        <v>173</v>
      </c>
      <c r="F10" s="49">
        <v>43807</v>
      </c>
      <c r="G10" s="24" t="s">
        <v>127</v>
      </c>
      <c r="H10" s="24" t="s">
        <v>99</v>
      </c>
      <c r="I10" s="45">
        <v>1000000</v>
      </c>
      <c r="J10" s="45">
        <v>190000</v>
      </c>
      <c r="K10" s="45">
        <v>0</v>
      </c>
      <c r="L10" s="45">
        <v>1190000</v>
      </c>
    </row>
    <row r="11" spans="1:26" x14ac:dyDescent="0.3">
      <c r="A11" s="1"/>
      <c r="C11" s="48">
        <v>6</v>
      </c>
      <c r="D11" s="24" t="s">
        <v>162</v>
      </c>
      <c r="E11" s="24" t="s">
        <v>174</v>
      </c>
      <c r="F11" s="49">
        <v>43717</v>
      </c>
      <c r="G11" s="24" t="s">
        <v>128</v>
      </c>
      <c r="H11" s="24" t="s">
        <v>104</v>
      </c>
      <c r="I11" s="45">
        <v>25000</v>
      </c>
      <c r="J11" s="45">
        <v>4750</v>
      </c>
      <c r="K11" s="45">
        <v>0</v>
      </c>
      <c r="L11" s="45">
        <v>29750</v>
      </c>
    </row>
    <row r="12" spans="1:26" x14ac:dyDescent="0.3">
      <c r="A12" s="1"/>
      <c r="C12" s="48">
        <v>7</v>
      </c>
      <c r="D12" s="50" t="s">
        <v>163</v>
      </c>
      <c r="E12" s="24" t="s">
        <v>175</v>
      </c>
      <c r="F12" s="49">
        <v>43779</v>
      </c>
      <c r="G12" s="24" t="s">
        <v>129</v>
      </c>
      <c r="H12" s="24" t="s">
        <v>105</v>
      </c>
      <c r="I12" s="45">
        <v>750000</v>
      </c>
      <c r="J12" s="45">
        <v>142500</v>
      </c>
      <c r="K12" s="45">
        <v>0</v>
      </c>
      <c r="L12" s="45">
        <v>892500</v>
      </c>
    </row>
    <row r="13" spans="1:26" x14ac:dyDescent="0.3">
      <c r="A13" s="1"/>
      <c r="C13" s="48">
        <v>8</v>
      </c>
      <c r="D13" s="49">
        <v>43743</v>
      </c>
      <c r="E13" s="24" t="s">
        <v>176</v>
      </c>
      <c r="F13" s="50" t="s">
        <v>166</v>
      </c>
      <c r="G13" s="24" t="s">
        <v>130</v>
      </c>
      <c r="H13" s="24" t="s">
        <v>106</v>
      </c>
      <c r="I13" s="45">
        <v>80000</v>
      </c>
      <c r="J13" s="45">
        <v>0</v>
      </c>
      <c r="K13" s="45">
        <v>0</v>
      </c>
      <c r="L13" s="45">
        <v>80000</v>
      </c>
    </row>
    <row r="14" spans="1:26" x14ac:dyDescent="0.3">
      <c r="A14" s="1"/>
      <c r="C14" s="48">
        <v>9</v>
      </c>
      <c r="D14" s="49">
        <v>43774</v>
      </c>
      <c r="E14" s="24" t="s">
        <v>177</v>
      </c>
      <c r="F14" s="50" t="s">
        <v>167</v>
      </c>
      <c r="G14" s="24" t="s">
        <v>131</v>
      </c>
      <c r="H14" s="24" t="s">
        <v>107</v>
      </c>
      <c r="I14" s="45">
        <v>35000</v>
      </c>
      <c r="J14" s="45">
        <v>0</v>
      </c>
      <c r="K14" s="45">
        <v>0</v>
      </c>
      <c r="L14" s="45">
        <v>35000</v>
      </c>
    </row>
    <row r="15" spans="1:26" x14ac:dyDescent="0.3">
      <c r="A15" s="1"/>
      <c r="C15" s="48">
        <v>10</v>
      </c>
      <c r="D15" s="50" t="s">
        <v>164</v>
      </c>
      <c r="E15" s="24" t="s">
        <v>178</v>
      </c>
      <c r="F15" s="49">
        <v>43507</v>
      </c>
      <c r="G15" s="24" t="s">
        <v>132</v>
      </c>
      <c r="H15" s="24" t="s">
        <v>108</v>
      </c>
      <c r="I15" s="45">
        <v>5000</v>
      </c>
      <c r="J15" s="45">
        <v>0</v>
      </c>
      <c r="K15" s="45">
        <v>0</v>
      </c>
      <c r="L15" s="45">
        <v>5000</v>
      </c>
    </row>
    <row r="16" spans="1:26" x14ac:dyDescent="0.3">
      <c r="A16" s="1"/>
      <c r="C16" s="48">
        <v>11</v>
      </c>
      <c r="D16" s="49">
        <v>43591</v>
      </c>
      <c r="E16" s="24" t="s">
        <v>179</v>
      </c>
      <c r="F16" s="50" t="s">
        <v>168</v>
      </c>
      <c r="G16" s="24" t="s">
        <v>124</v>
      </c>
      <c r="H16" s="24" t="s">
        <v>109</v>
      </c>
      <c r="I16" s="45">
        <v>70000</v>
      </c>
      <c r="J16" s="45">
        <v>13300</v>
      </c>
      <c r="K16" s="45">
        <v>0</v>
      </c>
      <c r="L16" s="45">
        <v>83300</v>
      </c>
    </row>
    <row r="17" spans="1:12" ht="20.25" x14ac:dyDescent="0.3">
      <c r="A17" s="1"/>
      <c r="C17" s="44" t="s">
        <v>58</v>
      </c>
      <c r="D17" s="44"/>
      <c r="E17" s="44"/>
      <c r="F17" s="44"/>
      <c r="G17" s="44"/>
      <c r="H17" s="44"/>
      <c r="I17" s="46">
        <v>2945000</v>
      </c>
      <c r="J17" s="46">
        <v>536750</v>
      </c>
      <c r="K17" s="46">
        <v>0</v>
      </c>
      <c r="L17" s="51">
        <v>3481750</v>
      </c>
    </row>
    <row r="18" spans="1:12" x14ac:dyDescent="0.3">
      <c r="A18" s="1"/>
      <c r="C18"/>
      <c r="D18"/>
      <c r="E18"/>
      <c r="F18"/>
      <c r="G18"/>
      <c r="H18"/>
      <c r="I18"/>
      <c r="J18"/>
      <c r="K18"/>
      <c r="L18"/>
    </row>
    <row r="19" spans="1:12" x14ac:dyDescent="0.3">
      <c r="A19" s="1"/>
      <c r="C19"/>
      <c r="D19"/>
      <c r="E19"/>
      <c r="F19"/>
      <c r="G19"/>
      <c r="H19"/>
      <c r="I19"/>
      <c r="J19"/>
      <c r="K19"/>
      <c r="L19"/>
    </row>
    <row r="20" spans="1:12" x14ac:dyDescent="0.3">
      <c r="A20" s="1"/>
      <c r="C20"/>
      <c r="D20"/>
      <c r="E20"/>
      <c r="F20"/>
      <c r="G20"/>
      <c r="H20"/>
      <c r="I20"/>
      <c r="J20"/>
      <c r="K20"/>
      <c r="L20"/>
    </row>
    <row r="21" spans="1:12" x14ac:dyDescent="0.3">
      <c r="A21" s="1"/>
      <c r="C21"/>
      <c r="D21"/>
      <c r="E21"/>
      <c r="F21"/>
      <c r="G21"/>
      <c r="H21"/>
      <c r="I21"/>
      <c r="J21"/>
      <c r="K21"/>
      <c r="L21"/>
    </row>
    <row r="22" spans="1:12" x14ac:dyDescent="0.3">
      <c r="A22" s="1"/>
      <c r="C22"/>
      <c r="D22"/>
      <c r="E22"/>
      <c r="F22"/>
      <c r="G22"/>
      <c r="H22"/>
      <c r="I22"/>
      <c r="J22"/>
      <c r="K22"/>
      <c r="L22"/>
    </row>
    <row r="23" spans="1:12" x14ac:dyDescent="0.3">
      <c r="A23" s="1"/>
      <c r="C23"/>
      <c r="D23"/>
      <c r="E23"/>
      <c r="F23"/>
      <c r="G23"/>
      <c r="H23"/>
      <c r="I23"/>
      <c r="J23"/>
      <c r="K23"/>
      <c r="L23"/>
    </row>
    <row r="24" spans="1:12" x14ac:dyDescent="0.3">
      <c r="A24" s="1"/>
      <c r="C24"/>
      <c r="D24"/>
      <c r="E24"/>
      <c r="F24"/>
      <c r="G24"/>
      <c r="H24"/>
      <c r="I24"/>
      <c r="J24"/>
      <c r="K24"/>
      <c r="L24"/>
    </row>
    <row r="25" spans="1:12" x14ac:dyDescent="0.3">
      <c r="A25" s="1"/>
      <c r="C25"/>
      <c r="D25"/>
      <c r="E25"/>
      <c r="F25"/>
      <c r="G25"/>
      <c r="H25"/>
      <c r="I25"/>
      <c r="J25"/>
      <c r="K25"/>
      <c r="L25"/>
    </row>
    <row r="26" spans="1:12" x14ac:dyDescent="0.3">
      <c r="A26" s="1"/>
      <c r="C26"/>
      <c r="D26"/>
      <c r="E26"/>
      <c r="F26"/>
      <c r="G26"/>
      <c r="H26"/>
      <c r="I26"/>
      <c r="J26"/>
      <c r="K26"/>
      <c r="L26"/>
    </row>
    <row r="27" spans="1:12" x14ac:dyDescent="0.3">
      <c r="A27" s="1"/>
      <c r="C27"/>
      <c r="D27"/>
      <c r="E27"/>
      <c r="F27"/>
      <c r="G27"/>
      <c r="H27"/>
      <c r="I27"/>
      <c r="J27"/>
      <c r="K27"/>
      <c r="L27"/>
    </row>
    <row r="28" spans="1:12" x14ac:dyDescent="0.3">
      <c r="A28" s="1"/>
      <c r="C28"/>
      <c r="D28"/>
      <c r="E28"/>
      <c r="F28"/>
      <c r="G28"/>
      <c r="H28"/>
      <c r="I28"/>
      <c r="J28"/>
      <c r="K28"/>
      <c r="L28"/>
    </row>
    <row r="29" spans="1:12" x14ac:dyDescent="0.3">
      <c r="A29" s="1"/>
      <c r="C29"/>
      <c r="D29"/>
      <c r="E29"/>
      <c r="F29"/>
      <c r="G29"/>
      <c r="H29"/>
      <c r="I29"/>
      <c r="J29"/>
      <c r="K29"/>
      <c r="L29"/>
    </row>
    <row r="30" spans="1:12" x14ac:dyDescent="0.3">
      <c r="A30" s="1"/>
      <c r="C30"/>
      <c r="D30"/>
      <c r="E30"/>
      <c r="F30"/>
      <c r="G30"/>
      <c r="H30"/>
      <c r="I30"/>
      <c r="J30"/>
      <c r="K30"/>
      <c r="L30"/>
    </row>
    <row r="31" spans="1:12" x14ac:dyDescent="0.3">
      <c r="A31" s="1"/>
      <c r="C31"/>
      <c r="D31"/>
      <c r="E31"/>
      <c r="F31"/>
      <c r="G31"/>
      <c r="H31"/>
      <c r="I31"/>
      <c r="J31"/>
      <c r="K31"/>
      <c r="L31"/>
    </row>
    <row r="32" spans="1:12" x14ac:dyDescent="0.3">
      <c r="A32" s="1"/>
      <c r="C32"/>
      <c r="D32"/>
      <c r="E32"/>
      <c r="F32"/>
      <c r="G32"/>
      <c r="H32"/>
      <c r="I32"/>
      <c r="J32"/>
      <c r="K32"/>
      <c r="L32"/>
    </row>
    <row r="33" spans="1:12" x14ac:dyDescent="0.3">
      <c r="A33" s="1"/>
      <c r="C33"/>
      <c r="D33"/>
      <c r="E33"/>
      <c r="F33"/>
      <c r="G33"/>
      <c r="H33"/>
      <c r="I33"/>
      <c r="J33"/>
      <c r="K33"/>
      <c r="L33"/>
    </row>
    <row r="34" spans="1:12" x14ac:dyDescent="0.3">
      <c r="A34" s="1"/>
      <c r="C34"/>
      <c r="D34"/>
      <c r="E34"/>
      <c r="F34"/>
      <c r="G34"/>
      <c r="H34"/>
      <c r="I34"/>
      <c r="J34"/>
      <c r="K34"/>
      <c r="L34"/>
    </row>
    <row r="35" spans="1:12" x14ac:dyDescent="0.3">
      <c r="A35" s="1"/>
      <c r="C35"/>
      <c r="D35"/>
      <c r="E35"/>
      <c r="F35"/>
      <c r="G35"/>
      <c r="H35"/>
      <c r="I35"/>
      <c r="J35"/>
      <c r="K35"/>
      <c r="L35"/>
    </row>
    <row r="36" spans="1:12" x14ac:dyDescent="0.3">
      <c r="A36" s="1"/>
      <c r="C36"/>
      <c r="D36"/>
      <c r="E36"/>
      <c r="F36"/>
      <c r="G36"/>
      <c r="H36"/>
      <c r="I36"/>
      <c r="J36"/>
      <c r="K36"/>
      <c r="L36"/>
    </row>
    <row r="37" spans="1:12" x14ac:dyDescent="0.3">
      <c r="A37" s="1"/>
      <c r="C37"/>
      <c r="D37"/>
      <c r="E37"/>
      <c r="F37"/>
      <c r="G37"/>
      <c r="H37"/>
      <c r="I37"/>
      <c r="J37"/>
      <c r="K37"/>
      <c r="L37"/>
    </row>
    <row r="38" spans="1:12" x14ac:dyDescent="0.3">
      <c r="A38" s="1"/>
      <c r="C38"/>
      <c r="D38"/>
      <c r="E38"/>
      <c r="F38"/>
      <c r="G38"/>
      <c r="H38"/>
      <c r="I38"/>
      <c r="J38"/>
      <c r="K38"/>
      <c r="L38"/>
    </row>
    <row r="39" spans="1:12" x14ac:dyDescent="0.3">
      <c r="A39" s="1"/>
      <c r="C39"/>
      <c r="D39"/>
      <c r="E39"/>
      <c r="F39"/>
      <c r="G39"/>
      <c r="H39"/>
      <c r="I39"/>
      <c r="J39"/>
      <c r="K39"/>
      <c r="L39"/>
    </row>
    <row r="40" spans="1:12" x14ac:dyDescent="0.3">
      <c r="A40" s="1"/>
      <c r="C40"/>
      <c r="D40"/>
      <c r="E40"/>
      <c r="F40"/>
      <c r="G40"/>
      <c r="H40"/>
      <c r="I40"/>
      <c r="J40"/>
      <c r="K40"/>
      <c r="L40"/>
    </row>
    <row r="41" spans="1:12" x14ac:dyDescent="0.3">
      <c r="A41" s="1"/>
      <c r="C41"/>
      <c r="D41"/>
      <c r="E41"/>
      <c r="F41"/>
      <c r="G41"/>
      <c r="H41"/>
      <c r="I41"/>
      <c r="J41"/>
      <c r="K41"/>
      <c r="L41"/>
    </row>
    <row r="42" spans="1:12" x14ac:dyDescent="0.3">
      <c r="A42" s="1"/>
      <c r="C42"/>
      <c r="D42"/>
      <c r="E42"/>
      <c r="F42"/>
      <c r="G42"/>
      <c r="H42"/>
      <c r="I42"/>
      <c r="J42"/>
      <c r="K42"/>
      <c r="L42"/>
    </row>
    <row r="43" spans="1:12" x14ac:dyDescent="0.3">
      <c r="A43" s="1"/>
      <c r="C43"/>
      <c r="D43"/>
      <c r="E43"/>
      <c r="F43"/>
      <c r="G43"/>
      <c r="H43"/>
      <c r="I43"/>
      <c r="J43"/>
      <c r="K43"/>
      <c r="L43"/>
    </row>
    <row r="44" spans="1:12" x14ac:dyDescent="0.3">
      <c r="A44" s="1"/>
      <c r="C44"/>
      <c r="D44"/>
      <c r="E44"/>
      <c r="F44"/>
      <c r="G44"/>
      <c r="H44"/>
      <c r="I44"/>
      <c r="J44"/>
      <c r="K44"/>
      <c r="L44"/>
    </row>
    <row r="45" spans="1:12" x14ac:dyDescent="0.3">
      <c r="A45" s="1"/>
      <c r="C45"/>
      <c r="D45"/>
      <c r="E45"/>
      <c r="F45"/>
      <c r="G45"/>
      <c r="H45"/>
      <c r="I45"/>
      <c r="J45"/>
      <c r="K45"/>
      <c r="L45"/>
    </row>
    <row r="46" spans="1:12" x14ac:dyDescent="0.3">
      <c r="A46" s="1"/>
      <c r="C46"/>
      <c r="D46"/>
      <c r="E46"/>
      <c r="F46"/>
      <c r="G46"/>
      <c r="H46"/>
      <c r="I46"/>
      <c r="J46"/>
      <c r="K46"/>
      <c r="L46"/>
    </row>
    <row r="47" spans="1:12" x14ac:dyDescent="0.3">
      <c r="A47" s="1"/>
      <c r="C47"/>
      <c r="D47"/>
      <c r="E47"/>
      <c r="F47"/>
      <c r="G47"/>
      <c r="H47"/>
      <c r="I47"/>
      <c r="J47"/>
      <c r="K47"/>
      <c r="L47"/>
    </row>
    <row r="48" spans="1:12" x14ac:dyDescent="0.3">
      <c r="A48" s="1"/>
      <c r="C48"/>
      <c r="D48"/>
      <c r="E48"/>
      <c r="F48"/>
      <c r="G48"/>
      <c r="H48"/>
      <c r="I48"/>
      <c r="J48"/>
      <c r="K48"/>
      <c r="L48"/>
    </row>
    <row r="49" spans="1:12" x14ac:dyDescent="0.3">
      <c r="A49" s="1"/>
      <c r="C49"/>
      <c r="D49"/>
      <c r="E49"/>
      <c r="F49"/>
      <c r="G49"/>
      <c r="H49"/>
      <c r="I49"/>
      <c r="J49"/>
      <c r="K49"/>
      <c r="L49"/>
    </row>
    <row r="50" spans="1:12" x14ac:dyDescent="0.3">
      <c r="A50" s="1"/>
      <c r="C50"/>
      <c r="D50"/>
      <c r="E50"/>
      <c r="F50"/>
      <c r="G50"/>
      <c r="H50"/>
      <c r="I50"/>
      <c r="J50"/>
      <c r="K50"/>
      <c r="L50"/>
    </row>
    <row r="51" spans="1:12" x14ac:dyDescent="0.3">
      <c r="A51" s="1"/>
      <c r="C51"/>
      <c r="D51"/>
      <c r="E51"/>
      <c r="F51"/>
      <c r="G51"/>
      <c r="H51"/>
      <c r="I51"/>
      <c r="J51"/>
      <c r="K51"/>
      <c r="L51"/>
    </row>
    <row r="52" spans="1:12" x14ac:dyDescent="0.3">
      <c r="A52" s="1"/>
      <c r="C52"/>
      <c r="D52"/>
      <c r="E52"/>
      <c r="F52"/>
      <c r="G52"/>
      <c r="H52"/>
      <c r="I52"/>
      <c r="J52"/>
      <c r="K52"/>
      <c r="L52"/>
    </row>
    <row r="53" spans="1:12" x14ac:dyDescent="0.3">
      <c r="A53" s="1"/>
      <c r="C53"/>
      <c r="D53"/>
      <c r="E53"/>
      <c r="F53"/>
      <c r="G53"/>
      <c r="H53"/>
      <c r="I53"/>
      <c r="J53"/>
      <c r="K53"/>
      <c r="L53"/>
    </row>
    <row r="54" spans="1:12" x14ac:dyDescent="0.3">
      <c r="A54" s="1"/>
      <c r="C54"/>
      <c r="D54"/>
      <c r="E54"/>
      <c r="F54"/>
      <c r="G54"/>
      <c r="H54"/>
      <c r="I54"/>
      <c r="J54"/>
      <c r="K54"/>
      <c r="L54"/>
    </row>
    <row r="55" spans="1:12" x14ac:dyDescent="0.3">
      <c r="A55" s="1"/>
      <c r="C55"/>
      <c r="D55"/>
      <c r="E55"/>
      <c r="F55"/>
      <c r="G55"/>
      <c r="H55"/>
      <c r="I55"/>
      <c r="J55"/>
      <c r="K55"/>
      <c r="L55"/>
    </row>
    <row r="56" spans="1:12" x14ac:dyDescent="0.3">
      <c r="A56" s="1"/>
      <c r="C56"/>
      <c r="D56"/>
      <c r="E56"/>
      <c r="F56"/>
      <c r="G56"/>
      <c r="H56"/>
      <c r="I56"/>
      <c r="J56"/>
      <c r="K56"/>
      <c r="L56"/>
    </row>
    <row r="57" spans="1:12" x14ac:dyDescent="0.3">
      <c r="A57" s="1"/>
      <c r="C57"/>
      <c r="D57"/>
      <c r="E57"/>
      <c r="F57"/>
      <c r="G57"/>
      <c r="H57"/>
      <c r="I57"/>
      <c r="J57"/>
      <c r="K57"/>
      <c r="L57"/>
    </row>
    <row r="58" spans="1:12" x14ac:dyDescent="0.3">
      <c r="A58" s="1"/>
      <c r="C58"/>
      <c r="D58"/>
      <c r="E58"/>
      <c r="F58"/>
      <c r="G58"/>
      <c r="H58"/>
      <c r="I58"/>
      <c r="J58"/>
      <c r="K58"/>
      <c r="L58"/>
    </row>
    <row r="59" spans="1:12" x14ac:dyDescent="0.3">
      <c r="A59" s="1"/>
      <c r="C59"/>
      <c r="D59"/>
      <c r="E59"/>
      <c r="F59"/>
      <c r="G59"/>
      <c r="H59"/>
      <c r="I59"/>
      <c r="J59"/>
      <c r="K59"/>
      <c r="L59"/>
    </row>
    <row r="60" spans="1:12" x14ac:dyDescent="0.3">
      <c r="A60" s="1"/>
      <c r="C60"/>
      <c r="D60"/>
      <c r="E60"/>
      <c r="F60"/>
      <c r="G60"/>
      <c r="H60"/>
      <c r="I60"/>
      <c r="J60"/>
      <c r="K60"/>
      <c r="L60"/>
    </row>
    <row r="61" spans="1:12" x14ac:dyDescent="0.3">
      <c r="A61" s="1"/>
      <c r="C61"/>
      <c r="D61"/>
      <c r="E61"/>
      <c r="F61"/>
      <c r="G61"/>
      <c r="H61"/>
      <c r="I61"/>
      <c r="J61"/>
      <c r="K61"/>
      <c r="L61"/>
    </row>
    <row r="62" spans="1:12" x14ac:dyDescent="0.3">
      <c r="A62" s="1"/>
      <c r="C62"/>
      <c r="D62"/>
      <c r="E62"/>
      <c r="F62"/>
      <c r="G62"/>
      <c r="H62"/>
      <c r="I62"/>
      <c r="J62"/>
      <c r="K62"/>
      <c r="L62"/>
    </row>
    <row r="63" spans="1:12" x14ac:dyDescent="0.3">
      <c r="A63" s="1"/>
      <c r="C63"/>
      <c r="D63"/>
      <c r="E63"/>
      <c r="F63"/>
      <c r="G63"/>
      <c r="H63"/>
      <c r="I63"/>
      <c r="J63"/>
      <c r="K63"/>
      <c r="L63"/>
    </row>
    <row r="64" spans="1:12" x14ac:dyDescent="0.3">
      <c r="A64" s="1"/>
      <c r="C64"/>
      <c r="D64"/>
      <c r="E64"/>
      <c r="F64"/>
      <c r="G64"/>
      <c r="H64"/>
      <c r="I64"/>
      <c r="J64"/>
      <c r="K64"/>
      <c r="L64"/>
    </row>
    <row r="65" spans="1:12" x14ac:dyDescent="0.3">
      <c r="A65" s="1"/>
      <c r="C65"/>
      <c r="D65"/>
      <c r="E65"/>
      <c r="F65"/>
      <c r="G65"/>
      <c r="H65"/>
      <c r="I65"/>
      <c r="J65"/>
      <c r="K65"/>
      <c r="L65"/>
    </row>
    <row r="66" spans="1:12" x14ac:dyDescent="0.3">
      <c r="A66" s="1"/>
      <c r="C66"/>
      <c r="D66"/>
      <c r="E66"/>
      <c r="F66"/>
      <c r="G66"/>
      <c r="H66"/>
      <c r="I66"/>
      <c r="J66"/>
      <c r="K66"/>
      <c r="L66"/>
    </row>
    <row r="67" spans="1:12" x14ac:dyDescent="0.3">
      <c r="A67" s="1"/>
      <c r="C67"/>
      <c r="D67"/>
      <c r="E67"/>
      <c r="F67"/>
      <c r="G67"/>
      <c r="H67"/>
      <c r="I67"/>
      <c r="J67"/>
      <c r="K67"/>
      <c r="L67"/>
    </row>
    <row r="68" spans="1:12" x14ac:dyDescent="0.3">
      <c r="A68" s="1"/>
      <c r="C68"/>
      <c r="D68"/>
      <c r="E68"/>
      <c r="F68"/>
      <c r="G68"/>
      <c r="H68"/>
      <c r="I68"/>
      <c r="J68"/>
      <c r="K68"/>
      <c r="L68"/>
    </row>
    <row r="69" spans="1:12" x14ac:dyDescent="0.3">
      <c r="A69" s="1"/>
      <c r="C69"/>
      <c r="D69"/>
      <c r="E69"/>
      <c r="F69"/>
      <c r="G69"/>
      <c r="H69"/>
      <c r="I69"/>
      <c r="J69"/>
      <c r="K69"/>
      <c r="L69"/>
    </row>
    <row r="70" spans="1:12" x14ac:dyDescent="0.3">
      <c r="A70" s="1"/>
      <c r="C70"/>
      <c r="D70"/>
      <c r="E70"/>
      <c r="F70"/>
      <c r="G70"/>
      <c r="H70"/>
      <c r="I70"/>
      <c r="J70"/>
      <c r="K70"/>
      <c r="L70"/>
    </row>
    <row r="71" spans="1:12" x14ac:dyDescent="0.3">
      <c r="A71" s="1"/>
      <c r="C71"/>
      <c r="D71"/>
      <c r="E71"/>
      <c r="F71"/>
      <c r="G71"/>
      <c r="H71"/>
      <c r="I71"/>
      <c r="J71"/>
      <c r="K71"/>
      <c r="L71"/>
    </row>
    <row r="72" spans="1:12" x14ac:dyDescent="0.3">
      <c r="A72" s="1"/>
      <c r="C72"/>
      <c r="D72"/>
      <c r="E72"/>
      <c r="F72"/>
      <c r="G72"/>
      <c r="H72"/>
      <c r="I72"/>
      <c r="J72"/>
      <c r="K72"/>
      <c r="L72"/>
    </row>
    <row r="73" spans="1:12" x14ac:dyDescent="0.3">
      <c r="A73" s="1"/>
    </row>
    <row r="74" spans="1:12" x14ac:dyDescent="0.3">
      <c r="A74" s="1"/>
    </row>
    <row r="75" spans="1:12" x14ac:dyDescent="0.3">
      <c r="A75" s="1"/>
    </row>
    <row r="76" spans="1:12" x14ac:dyDescent="0.3">
      <c r="A76" s="1"/>
    </row>
    <row r="77" spans="1:12" x14ac:dyDescent="0.3">
      <c r="A77" s="1"/>
    </row>
    <row r="78" spans="1:12" x14ac:dyDescent="0.3">
      <c r="A78" s="1"/>
    </row>
    <row r="79" spans="1:12" x14ac:dyDescent="0.3">
      <c r="A79" s="1"/>
    </row>
    <row r="80" spans="1:12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</sheetData>
  <mergeCells count="1">
    <mergeCell ref="B1:J3"/>
  </mergeCells>
  <pageMargins left="0.7" right="0.7" top="0.75" bottom="0.75" header="0.3" footer="0.3"/>
  <pageSetup paperSize="9"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14</vt:i4>
      </vt:variant>
    </vt:vector>
  </HeadingPairs>
  <TitlesOfParts>
    <vt:vector size="25" baseType="lpstr">
      <vt:lpstr>Indice</vt:lpstr>
      <vt:lpstr>Config</vt:lpstr>
      <vt:lpstr>ProdServ</vt:lpstr>
      <vt:lpstr>Clientes</vt:lpstr>
      <vt:lpstr>Ingresos</vt:lpstr>
      <vt:lpstr>FacEmitida</vt:lpstr>
      <vt:lpstr>ListaEmitidas</vt:lpstr>
      <vt:lpstr>TiposGasto</vt:lpstr>
      <vt:lpstr>Proveedores</vt:lpstr>
      <vt:lpstr>Gastos</vt:lpstr>
      <vt:lpstr>ListaRecibidas</vt:lpstr>
      <vt:lpstr>FacEmitida!Área_de_impresión</vt:lpstr>
      <vt:lpstr>ListaEmitidas!Área_de_impresión</vt:lpstr>
      <vt:lpstr>CheckNFactura</vt:lpstr>
      <vt:lpstr>ClienteAFacturar</vt:lpstr>
      <vt:lpstr>FechaAFacturar</vt:lpstr>
      <vt:lpstr>IRPEmpresa</vt:lpstr>
      <vt:lpstr>ListaClientes</vt:lpstr>
      <vt:lpstr>ListaFormasDePago</vt:lpstr>
      <vt:lpstr>ListaProductos</vt:lpstr>
      <vt:lpstr>ListaProveedores</vt:lpstr>
      <vt:lpstr>ListaTiposGasto</vt:lpstr>
      <vt:lpstr>NFacturaManual</vt:lpstr>
      <vt:lpstr>NumeroAutomatico</vt:lpstr>
      <vt:lpstr>UltimoNFactura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2020-03-02T21:31:06Z</cp:lastPrinted>
  <dcterms:created xsi:type="dcterms:W3CDTF">2020-02-27T22:28:22Z</dcterms:created>
  <dcterms:modified xsi:type="dcterms:W3CDTF">2020-03-11T02:38:05Z</dcterms:modified>
</cp:coreProperties>
</file>